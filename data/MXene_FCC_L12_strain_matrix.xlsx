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xr:revisionPtr revIDLastSave="0" documentId="8_{8D6E8872-E9A7-4806-8A4B-2110BF0D05D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Notes" sheetId="1" r:id="rId1"/>
    <sheet name="Metals" sheetId="2" r:id="rId2"/>
    <sheet name="MXenes" sheetId="3" r:id="rId3"/>
    <sheet name="Strain" sheetId="4" r:id="rId4"/>
    <sheet name="AbsStrain" sheetId="5" r:id="rId5"/>
    <sheet name="Best_pairs" sheetId="6" r:id="rId6"/>
  </sheets>
  <definedNames>
    <definedName name="_xlnm._FilterDatabase" localSheetId="4" hidden="1">AbsStrain!$A$4:$AA$50</definedName>
    <definedName name="_xlnm._FilterDatabase" localSheetId="5" hidden="1">Best_pairs!$A$4:$H$60</definedName>
    <definedName name="_xlnm._FilterDatabase" localSheetId="1" hidden="1">Metals!$A$3:$F$27</definedName>
    <definedName name="_xlnm._FilterDatabase" localSheetId="2" hidden="1">MXenes!$A$3:$F$49</definedName>
    <definedName name="_xlnm._FilterDatabase" localSheetId="3" hidden="1">Strain!$A$4:$AA$50</definedName>
    <definedName name="_xlnm.Print_Titles" localSheetId="5">Best_pairs!$1:$4</definedName>
    <definedName name="_xlnm.Print_Titles" localSheetId="1">Metals!$1:$3</definedName>
    <definedName name="_xlnm.Print_Titles" localSheetId="2">MXenes!$1:$3</definedName>
    <definedName name="_xlnm.Print_Titles" localSheetId="3">Strain!$1:$4,Strain!$A:$C</definedName>
    <definedName name="_xlnm.Print_Titles" localSheetId="4">AbsStrain!$1:$4,AbsStrain!$A:$C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0" i="6" l="1"/>
  <c r="E60" i="6"/>
  <c r="D60" i="6"/>
  <c r="C60" i="6"/>
  <c r="B60" i="6"/>
  <c r="F59" i="6"/>
  <c r="E59" i="6"/>
  <c r="D59" i="6"/>
  <c r="C59" i="6"/>
  <c r="B59" i="6"/>
  <c r="F58" i="6"/>
  <c r="E58" i="6"/>
  <c r="D58" i="6"/>
  <c r="C58" i="6"/>
  <c r="B58" i="6"/>
  <c r="F57" i="6"/>
  <c r="E57" i="6"/>
  <c r="D57" i="6"/>
  <c r="C57" i="6"/>
  <c r="B57" i="6"/>
  <c r="F56" i="6"/>
  <c r="E56" i="6"/>
  <c r="D56" i="6"/>
  <c r="C56" i="6"/>
  <c r="B56" i="6"/>
  <c r="F55" i="6"/>
  <c r="E55" i="6"/>
  <c r="D55" i="6"/>
  <c r="C55" i="6"/>
  <c r="B55" i="6"/>
  <c r="F54" i="6"/>
  <c r="E54" i="6"/>
  <c r="D54" i="6"/>
  <c r="C54" i="6"/>
  <c r="B54" i="6"/>
  <c r="F53" i="6"/>
  <c r="E53" i="6"/>
  <c r="D53" i="6"/>
  <c r="C53" i="6"/>
  <c r="B53" i="6"/>
  <c r="F52" i="6"/>
  <c r="E52" i="6"/>
  <c r="D52" i="6"/>
  <c r="C52" i="6"/>
  <c r="B52" i="6"/>
  <c r="F51" i="6"/>
  <c r="E51" i="6"/>
  <c r="D51" i="6"/>
  <c r="C51" i="6"/>
  <c r="B51" i="6"/>
  <c r="F50" i="6"/>
  <c r="E50" i="6"/>
  <c r="D50" i="6"/>
  <c r="C50" i="6"/>
  <c r="B50" i="6"/>
  <c r="F49" i="6"/>
  <c r="E49" i="6"/>
  <c r="D49" i="6"/>
  <c r="C49" i="6"/>
  <c r="B49" i="6"/>
  <c r="F48" i="6"/>
  <c r="E48" i="6"/>
  <c r="D48" i="6"/>
  <c r="C48" i="6"/>
  <c r="B48" i="6"/>
  <c r="F47" i="6"/>
  <c r="E47" i="6"/>
  <c r="D47" i="6"/>
  <c r="C47" i="6"/>
  <c r="B47" i="6"/>
  <c r="F46" i="6"/>
  <c r="E46" i="6"/>
  <c r="D46" i="6"/>
  <c r="C46" i="6"/>
  <c r="B46" i="6"/>
  <c r="F45" i="6"/>
  <c r="E45" i="6"/>
  <c r="D45" i="6"/>
  <c r="C45" i="6"/>
  <c r="B45" i="6"/>
  <c r="F44" i="6"/>
  <c r="E44" i="6"/>
  <c r="D44" i="6"/>
  <c r="C44" i="6"/>
  <c r="B44" i="6"/>
  <c r="F43" i="6"/>
  <c r="E43" i="6"/>
  <c r="D43" i="6"/>
  <c r="C43" i="6"/>
  <c r="B43" i="6"/>
  <c r="F42" i="6"/>
  <c r="E42" i="6"/>
  <c r="D42" i="6"/>
  <c r="C42" i="6"/>
  <c r="B42" i="6"/>
  <c r="F41" i="6"/>
  <c r="E41" i="6"/>
  <c r="D41" i="6"/>
  <c r="C41" i="6"/>
  <c r="B41" i="6"/>
  <c r="F40" i="6"/>
  <c r="E40" i="6"/>
  <c r="D40" i="6"/>
  <c r="C40" i="6"/>
  <c r="B40" i="6"/>
  <c r="F39" i="6"/>
  <c r="E39" i="6"/>
  <c r="D39" i="6"/>
  <c r="C39" i="6"/>
  <c r="B39" i="6"/>
  <c r="F38" i="6"/>
  <c r="E38" i="6"/>
  <c r="D38" i="6"/>
  <c r="C38" i="6"/>
  <c r="B38" i="6"/>
  <c r="F37" i="6"/>
  <c r="E37" i="6"/>
  <c r="D37" i="6"/>
  <c r="C37" i="6"/>
  <c r="B37" i="6"/>
  <c r="F36" i="6"/>
  <c r="E36" i="6"/>
  <c r="D36" i="6"/>
  <c r="C36" i="6"/>
  <c r="B36" i="6"/>
  <c r="F35" i="6"/>
  <c r="E35" i="6"/>
  <c r="D35" i="6"/>
  <c r="C35" i="6"/>
  <c r="B35" i="6"/>
  <c r="F34" i="6"/>
  <c r="E34" i="6"/>
  <c r="D34" i="6"/>
  <c r="C34" i="6"/>
  <c r="B34" i="6"/>
  <c r="F33" i="6"/>
  <c r="E33" i="6"/>
  <c r="D33" i="6"/>
  <c r="C33" i="6"/>
  <c r="B33" i="6"/>
  <c r="F32" i="6"/>
  <c r="E32" i="6"/>
  <c r="D32" i="6"/>
  <c r="C32" i="6"/>
  <c r="B32" i="6"/>
  <c r="F31" i="6"/>
  <c r="E31" i="6"/>
  <c r="D31" i="6"/>
  <c r="C31" i="6"/>
  <c r="B31" i="6"/>
  <c r="F30" i="6"/>
  <c r="E30" i="6"/>
  <c r="D30" i="6"/>
  <c r="C30" i="6"/>
  <c r="B30" i="6"/>
  <c r="F29" i="6"/>
  <c r="E29" i="6"/>
  <c r="D29" i="6"/>
  <c r="C29" i="6"/>
  <c r="B29" i="6"/>
  <c r="F28" i="6"/>
  <c r="E28" i="6"/>
  <c r="D28" i="6"/>
  <c r="C28" i="6"/>
  <c r="B28" i="6"/>
  <c r="F27" i="6"/>
  <c r="E27" i="6"/>
  <c r="D27" i="6"/>
  <c r="C27" i="6"/>
  <c r="B27" i="6"/>
  <c r="F26" i="6"/>
  <c r="E26" i="6"/>
  <c r="D26" i="6"/>
  <c r="C26" i="6"/>
  <c r="B26" i="6"/>
  <c r="F25" i="6"/>
  <c r="E25" i="6"/>
  <c r="D25" i="6"/>
  <c r="C25" i="6"/>
  <c r="B25" i="6"/>
  <c r="F24" i="6"/>
  <c r="E24" i="6"/>
  <c r="D24" i="6"/>
  <c r="C24" i="6"/>
  <c r="B24" i="6"/>
  <c r="F23" i="6"/>
  <c r="E23" i="6"/>
  <c r="D23" i="6"/>
  <c r="C23" i="6"/>
  <c r="B23" i="6"/>
  <c r="F22" i="6"/>
  <c r="E22" i="6"/>
  <c r="D22" i="6"/>
  <c r="C22" i="6"/>
  <c r="B22" i="6"/>
  <c r="F21" i="6"/>
  <c r="E21" i="6"/>
  <c r="D21" i="6"/>
  <c r="C21" i="6"/>
  <c r="B21" i="6"/>
  <c r="F20" i="6"/>
  <c r="E20" i="6"/>
  <c r="D20" i="6"/>
  <c r="C20" i="6"/>
  <c r="B20" i="6"/>
  <c r="F19" i="6"/>
  <c r="E19" i="6"/>
  <c r="D19" i="6"/>
  <c r="C19" i="6"/>
  <c r="B19" i="6"/>
  <c r="F18" i="6"/>
  <c r="E18" i="6"/>
  <c r="D18" i="6"/>
  <c r="C18" i="6"/>
  <c r="B18" i="6"/>
  <c r="F17" i="6"/>
  <c r="E17" i="6"/>
  <c r="D17" i="6"/>
  <c r="C17" i="6"/>
  <c r="B17" i="6"/>
  <c r="F16" i="6"/>
  <c r="E16" i="6"/>
  <c r="D16" i="6"/>
  <c r="C16" i="6"/>
  <c r="B16" i="6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C50" i="5"/>
  <c r="B50" i="5"/>
  <c r="A50" i="5"/>
  <c r="C49" i="5"/>
  <c r="B49" i="5"/>
  <c r="A49" i="5"/>
  <c r="C48" i="5"/>
  <c r="B48" i="5"/>
  <c r="A48" i="5"/>
  <c r="C47" i="5"/>
  <c r="B47" i="5"/>
  <c r="A47" i="5"/>
  <c r="C46" i="5"/>
  <c r="B46" i="5"/>
  <c r="A46" i="5"/>
  <c r="C45" i="5"/>
  <c r="B45" i="5"/>
  <c r="A45" i="5"/>
  <c r="C44" i="5"/>
  <c r="B44" i="5"/>
  <c r="A44" i="5"/>
  <c r="C43" i="5"/>
  <c r="B43" i="5"/>
  <c r="A43" i="5"/>
  <c r="C42" i="5"/>
  <c r="B42" i="5"/>
  <c r="A42" i="5"/>
  <c r="C41" i="5"/>
  <c r="B41" i="5"/>
  <c r="A41" i="5"/>
  <c r="C40" i="5"/>
  <c r="B40" i="5"/>
  <c r="A40" i="5"/>
  <c r="C39" i="5"/>
  <c r="B39" i="5"/>
  <c r="A39" i="5"/>
  <c r="C38" i="5"/>
  <c r="B38" i="5"/>
  <c r="A38" i="5"/>
  <c r="C37" i="5"/>
  <c r="B37" i="5"/>
  <c r="A37" i="5"/>
  <c r="C36" i="5"/>
  <c r="B36" i="5"/>
  <c r="A36" i="5"/>
  <c r="C35" i="5"/>
  <c r="B35" i="5"/>
  <c r="A35" i="5"/>
  <c r="C34" i="5"/>
  <c r="B34" i="5"/>
  <c r="A34" i="5"/>
  <c r="C33" i="5"/>
  <c r="B33" i="5"/>
  <c r="A33" i="5"/>
  <c r="C32" i="5"/>
  <c r="B32" i="5"/>
  <c r="A32" i="5"/>
  <c r="C31" i="5"/>
  <c r="B31" i="5"/>
  <c r="A31" i="5"/>
  <c r="C30" i="5"/>
  <c r="B30" i="5"/>
  <c r="A30" i="5"/>
  <c r="C29" i="5"/>
  <c r="B29" i="5"/>
  <c r="A29" i="5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C18" i="5"/>
  <c r="B18" i="5"/>
  <c r="A18" i="5"/>
  <c r="C17" i="5"/>
  <c r="B17" i="5"/>
  <c r="A17" i="5"/>
  <c r="C16" i="5"/>
  <c r="B16" i="5"/>
  <c r="A16" i="5"/>
  <c r="C15" i="5"/>
  <c r="B15" i="5"/>
  <c r="A15" i="5"/>
  <c r="C14" i="5"/>
  <c r="B14" i="5"/>
  <c r="A14" i="5"/>
  <c r="C13" i="5"/>
  <c r="B13" i="5"/>
  <c r="A13" i="5"/>
  <c r="C12" i="5"/>
  <c r="B12" i="5"/>
  <c r="A12" i="5"/>
  <c r="C11" i="5"/>
  <c r="B11" i="5"/>
  <c r="A11" i="5"/>
  <c r="C10" i="5"/>
  <c r="B10" i="5"/>
  <c r="A10" i="5"/>
  <c r="C9" i="5"/>
  <c r="B9" i="5"/>
  <c r="A9" i="5"/>
  <c r="C8" i="5"/>
  <c r="B8" i="5"/>
  <c r="A8" i="5"/>
  <c r="C7" i="5"/>
  <c r="B7" i="5"/>
  <c r="A7" i="5"/>
  <c r="C6" i="5"/>
  <c r="B6" i="5"/>
  <c r="A6" i="5"/>
  <c r="C5" i="5"/>
  <c r="B5" i="5"/>
  <c r="A5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D3" i="5" l="1"/>
  <c r="D3" i="4"/>
  <c r="E3" i="5"/>
  <c r="E3" i="4"/>
  <c r="F3" i="5"/>
  <c r="F3" i="4"/>
  <c r="G3" i="5"/>
  <c r="G3" i="4"/>
  <c r="H3" i="5"/>
  <c r="H3" i="4"/>
  <c r="G59" i="6"/>
  <c r="G50" i="6"/>
  <c r="G49" i="6"/>
  <c r="G40" i="6"/>
  <c r="I3" i="5"/>
  <c r="I3" i="4"/>
  <c r="G55" i="6"/>
  <c r="G42" i="6"/>
  <c r="G37" i="6"/>
  <c r="G36" i="6"/>
  <c r="G30" i="6"/>
  <c r="J3" i="5"/>
  <c r="J3" i="4"/>
  <c r="G48" i="6"/>
  <c r="G47" i="6"/>
  <c r="G29" i="6"/>
  <c r="G28" i="6"/>
  <c r="G25" i="6"/>
  <c r="G24" i="6"/>
  <c r="G23" i="6"/>
  <c r="G13" i="6"/>
  <c r="G12" i="6"/>
  <c r="G10" i="6"/>
  <c r="G6" i="6"/>
  <c r="K3" i="5"/>
  <c r="K3" i="4"/>
  <c r="G60" i="6"/>
  <c r="G54" i="6"/>
  <c r="G46" i="6"/>
  <c r="G39" i="6"/>
  <c r="G38" i="6"/>
  <c r="G31" i="6"/>
  <c r="G22" i="6"/>
  <c r="G21" i="6"/>
  <c r="G19" i="6"/>
  <c r="G18" i="6"/>
  <c r="G17" i="6"/>
  <c r="G15" i="6"/>
  <c r="G11" i="6"/>
  <c r="G5" i="6"/>
  <c r="L3" i="5"/>
  <c r="L3" i="4"/>
  <c r="G56" i="6"/>
  <c r="G53" i="6"/>
  <c r="G52" i="6"/>
  <c r="G45" i="6"/>
  <c r="G35" i="6"/>
  <c r="G34" i="6"/>
  <c r="G32" i="6"/>
  <c r="G27" i="6"/>
  <c r="G26" i="6"/>
  <c r="G20" i="6"/>
  <c r="G16" i="6"/>
  <c r="G14" i="6"/>
  <c r="G9" i="6"/>
  <c r="G8" i="6"/>
  <c r="G7" i="6"/>
  <c r="M3" i="5"/>
  <c r="M3" i="4"/>
  <c r="N3" i="5"/>
  <c r="N3" i="4"/>
  <c r="O3" i="5"/>
  <c r="O3" i="4"/>
  <c r="P3" i="5"/>
  <c r="P3" i="4"/>
  <c r="Q3" i="5"/>
  <c r="Q3" i="4"/>
  <c r="R3" i="5"/>
  <c r="R3" i="4"/>
  <c r="S3" i="5"/>
  <c r="S3" i="4"/>
  <c r="T3" i="5"/>
  <c r="T3" i="4"/>
  <c r="U3" i="5"/>
  <c r="U3" i="4"/>
  <c r="V3" i="5"/>
  <c r="V3" i="4"/>
  <c r="W3" i="5"/>
  <c r="W3" i="4"/>
  <c r="X3" i="5"/>
  <c r="X3" i="4"/>
  <c r="G58" i="6"/>
  <c r="G57" i="6"/>
  <c r="G41" i="6"/>
  <c r="Y3" i="5"/>
  <c r="Y3" i="4"/>
  <c r="G51" i="6"/>
  <c r="G44" i="6"/>
  <c r="G43" i="6"/>
  <c r="G33" i="6"/>
  <c r="Z3" i="5"/>
  <c r="Z3" i="4"/>
  <c r="AA3" i="5"/>
  <c r="AA3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H7" i="6" s="1"/>
  <c r="L6" i="4"/>
  <c r="H5" i="6" s="1"/>
  <c r="K6" i="4"/>
  <c r="H13" i="6" s="1"/>
  <c r="J6" i="4"/>
  <c r="H55" i="6" s="1"/>
  <c r="I6" i="4"/>
  <c r="H6" i="4"/>
  <c r="G6" i="4"/>
  <c r="F6" i="4"/>
  <c r="E6" i="4"/>
  <c r="D6" i="4"/>
  <c r="AA7" i="4"/>
  <c r="Z7" i="4"/>
  <c r="H33" i="6" s="1"/>
  <c r="Y7" i="4"/>
  <c r="H41" i="6" s="1"/>
  <c r="X7" i="4"/>
  <c r="W7" i="4"/>
  <c r="V7" i="4"/>
  <c r="U7" i="4"/>
  <c r="T7" i="4"/>
  <c r="S7" i="4"/>
  <c r="R7" i="4"/>
  <c r="Q7" i="4"/>
  <c r="P7" i="4"/>
  <c r="O7" i="4"/>
  <c r="N7" i="4"/>
  <c r="M7" i="4"/>
  <c r="H32" i="6" s="1"/>
  <c r="L7" i="4"/>
  <c r="H31" i="6" s="1"/>
  <c r="K7" i="4"/>
  <c r="H24" i="6" s="1"/>
  <c r="J7" i="4"/>
  <c r="H30" i="6" s="1"/>
  <c r="I7" i="4"/>
  <c r="H40" i="6" s="1"/>
  <c r="H7" i="4"/>
  <c r="G7" i="4"/>
  <c r="F7" i="4"/>
  <c r="E7" i="4"/>
  <c r="D7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A10" i="4"/>
  <c r="Z10" i="4"/>
  <c r="H44" i="6" s="1"/>
  <c r="Y10" i="4"/>
  <c r="H58" i="6" s="1"/>
  <c r="X10" i="4"/>
  <c r="W10" i="4"/>
  <c r="V10" i="4"/>
  <c r="U10" i="4"/>
  <c r="T10" i="4"/>
  <c r="S10" i="4"/>
  <c r="R10" i="4"/>
  <c r="Q10" i="4"/>
  <c r="P10" i="4"/>
  <c r="O10" i="4"/>
  <c r="N10" i="4"/>
  <c r="M10" i="4"/>
  <c r="H26" i="6" s="1"/>
  <c r="L10" i="4"/>
  <c r="H21" i="6" s="1"/>
  <c r="K10" i="4"/>
  <c r="H10" i="6" s="1"/>
  <c r="J10" i="4"/>
  <c r="H37" i="6" s="1"/>
  <c r="I10" i="4"/>
  <c r="H50" i="6" s="1"/>
  <c r="H10" i="4"/>
  <c r="G10" i="4"/>
  <c r="F10" i="4"/>
  <c r="E10" i="4"/>
  <c r="D10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AA13" i="4"/>
  <c r="Z13" i="4"/>
  <c r="H43" i="6" s="1"/>
  <c r="Y13" i="4"/>
  <c r="H57" i="6" s="1"/>
  <c r="X13" i="4"/>
  <c r="W13" i="4"/>
  <c r="V13" i="4"/>
  <c r="U13" i="4"/>
  <c r="T13" i="4"/>
  <c r="S13" i="4"/>
  <c r="R13" i="4"/>
  <c r="Q13" i="4"/>
  <c r="P13" i="4"/>
  <c r="O13" i="4"/>
  <c r="N13" i="4"/>
  <c r="M13" i="4"/>
  <c r="H27" i="6" s="1"/>
  <c r="L13" i="4"/>
  <c r="H22" i="6" s="1"/>
  <c r="K13" i="4"/>
  <c r="H12" i="6" s="1"/>
  <c r="J13" i="4"/>
  <c r="H36" i="6" s="1"/>
  <c r="I13" i="4"/>
  <c r="H49" i="6" s="1"/>
  <c r="H13" i="4"/>
  <c r="G13" i="4"/>
  <c r="F13" i="4"/>
  <c r="E13" i="4"/>
  <c r="D13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H34" i="6" s="1"/>
  <c r="L15" i="4"/>
  <c r="H38" i="6" s="1"/>
  <c r="K15" i="4"/>
  <c r="H47" i="6" s="1"/>
  <c r="J15" i="4"/>
  <c r="I15" i="4"/>
  <c r="H15" i="4"/>
  <c r="G15" i="4"/>
  <c r="F15" i="4"/>
  <c r="E15" i="4"/>
  <c r="D15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H53" i="6" s="1"/>
  <c r="L32" i="4"/>
  <c r="H60" i="6" s="1"/>
  <c r="K32" i="4"/>
  <c r="J32" i="4"/>
  <c r="I32" i="4"/>
  <c r="H32" i="4"/>
  <c r="G32" i="4"/>
  <c r="F32" i="4"/>
  <c r="E32" i="4"/>
  <c r="D32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H14" i="6" s="1"/>
  <c r="L33" i="4"/>
  <c r="H17" i="6" s="1"/>
  <c r="K33" i="4"/>
  <c r="H28" i="6" s="1"/>
  <c r="J33" i="4"/>
  <c r="I33" i="4"/>
  <c r="H33" i="4"/>
  <c r="G33" i="4"/>
  <c r="F33" i="4"/>
  <c r="E33" i="4"/>
  <c r="D33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H9" i="6" s="1"/>
  <c r="L35" i="4"/>
  <c r="H15" i="6" s="1"/>
  <c r="K35" i="4"/>
  <c r="H25" i="6" s="1"/>
  <c r="J35" i="4"/>
  <c r="I35" i="4"/>
  <c r="H35" i="4"/>
  <c r="G35" i="4"/>
  <c r="F35" i="4"/>
  <c r="E35" i="4"/>
  <c r="D35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H45" i="6" s="1"/>
  <c r="L36" i="4"/>
  <c r="H46" i="6" s="1"/>
  <c r="K36" i="4"/>
  <c r="J36" i="4"/>
  <c r="I36" i="4"/>
  <c r="H36" i="4"/>
  <c r="G36" i="4"/>
  <c r="F36" i="4"/>
  <c r="E36" i="4"/>
  <c r="D36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H56" i="6" s="1"/>
  <c r="L38" i="4"/>
  <c r="K38" i="4"/>
  <c r="J38" i="4"/>
  <c r="I38" i="4"/>
  <c r="H38" i="4"/>
  <c r="G38" i="4"/>
  <c r="F38" i="4"/>
  <c r="E38" i="4"/>
  <c r="D38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H8" i="6" s="1"/>
  <c r="L40" i="4"/>
  <c r="H11" i="6" s="1"/>
  <c r="K40" i="4"/>
  <c r="H23" i="6" s="1"/>
  <c r="J40" i="4"/>
  <c r="I40" i="4"/>
  <c r="H40" i="4"/>
  <c r="G40" i="4"/>
  <c r="F40" i="4"/>
  <c r="E40" i="4"/>
  <c r="D40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H16" i="6" s="1"/>
  <c r="L43" i="4"/>
  <c r="H19" i="6" s="1"/>
  <c r="K43" i="4"/>
  <c r="H29" i="6" s="1"/>
  <c r="J43" i="4"/>
  <c r="I43" i="4"/>
  <c r="H43" i="4"/>
  <c r="G43" i="4"/>
  <c r="F43" i="4"/>
  <c r="E43" i="4"/>
  <c r="D43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AA45" i="4"/>
  <c r="Z45" i="4"/>
  <c r="H51" i="6" s="1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H20" i="6" s="1"/>
  <c r="L45" i="4"/>
  <c r="H18" i="6" s="1"/>
  <c r="K45" i="4"/>
  <c r="H6" i="6" s="1"/>
  <c r="J45" i="4"/>
  <c r="H42" i="6" s="1"/>
  <c r="I45" i="4"/>
  <c r="H59" i="6" s="1"/>
  <c r="H45" i="4"/>
  <c r="G45" i="4"/>
  <c r="F45" i="4"/>
  <c r="E45" i="4"/>
  <c r="D45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H35" i="6" s="1"/>
  <c r="L47" i="4"/>
  <c r="H39" i="6" s="1"/>
  <c r="K47" i="4"/>
  <c r="H48" i="6" s="1"/>
  <c r="J47" i="4"/>
  <c r="I47" i="4"/>
  <c r="H47" i="4"/>
  <c r="G47" i="4"/>
  <c r="F47" i="4"/>
  <c r="E47" i="4"/>
  <c r="D47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H52" i="6" s="1"/>
  <c r="L48" i="4"/>
  <c r="H54" i="6" s="1"/>
  <c r="K48" i="4"/>
  <c r="J48" i="4"/>
  <c r="I48" i="4"/>
  <c r="H48" i="4"/>
  <c r="G48" i="4"/>
  <c r="F48" i="4"/>
  <c r="E48" i="4"/>
  <c r="D48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</calcChain>
</file>

<file path=xl/sharedStrings.xml><?xml version="1.0" encoding="utf-8"?>
<sst xmlns="http://schemas.openxmlformats.org/spreadsheetml/2006/main" count="325" uniqueCount="149">
  <si>
    <t>MXene basal plane vs FCC and L12 (111) lattice strain</t>
  </si>
  <si>
    <t>Strain (%) = 100 * (a_MXene - a_111) / a_111.</t>
  </si>
  <si>
    <t>a_111 = a_cubic / sqrt(2). For both FCC and L12 this is the nearest-neighbor spacing of the (111) hexagonal net.</t>
  </si>
  <si>
    <t>Positive strain: MXene cell is larger than the metal (111) net (MXene compressed in a coherent 1x1 cell).</t>
  </si>
  <si>
    <t>L12 columns are purple. Ni3Ti L12 is metastable (stable structure is D024). Fe3Al stable structure is D03; the L12-like a is approximate.</t>
  </si>
  <si>
    <t>Double-transition-metal rows are ordered out-of-plane M'2M''C2 unless marked carbonitride or solid solution.</t>
  </si>
  <si>
    <t>O-terminated rows are smaller than the matching bare carbide. Solid-solution rows are Vegard estimates.</t>
  </si>
  <si>
    <t>Blue/yellow cells on Metals and MXenes are inputs. Strain sheets are formulas.</t>
  </si>
  <si>
    <t>Color scale on Strain: blue = MXene smaller, white = 0, red = MXene larger. AbsStrain: green &lt; 2%, yellow ~ 5%, red &gt; 8%.</t>
  </si>
  <si>
    <t>FCC and L12 crystals — cubic a and (111) hexagonal spacing</t>
  </si>
  <si>
    <t>Symbol</t>
  </si>
  <si>
    <t>Name</t>
  </si>
  <si>
    <t>Structure</t>
  </si>
  <si>
    <t>a_cubic (A)</t>
  </si>
  <si>
    <t>a_111 (A)</t>
  </si>
  <si>
    <t>Source</t>
  </si>
  <si>
    <t>Ni</t>
  </si>
  <si>
    <t>Nickel</t>
  </si>
  <si>
    <t>FCC</t>
  </si>
  <si>
    <t>exp RT</t>
  </si>
  <si>
    <t>Co</t>
  </si>
  <si>
    <t>Cobalt (FCC)</t>
  </si>
  <si>
    <t>metastable FCC</t>
  </si>
  <si>
    <t>Cu</t>
  </si>
  <si>
    <t>Copper</t>
  </si>
  <si>
    <t>Rh</t>
  </si>
  <si>
    <t>Rhodium</t>
  </si>
  <si>
    <t>Ir</t>
  </si>
  <si>
    <t>Iridium</t>
  </si>
  <si>
    <t>Pd</t>
  </si>
  <si>
    <t>Palladium</t>
  </si>
  <si>
    <t>Pt</t>
  </si>
  <si>
    <t>Platinum</t>
  </si>
  <si>
    <t>Al</t>
  </si>
  <si>
    <t>Aluminum</t>
  </si>
  <si>
    <t>Au</t>
  </si>
  <si>
    <t>Gold</t>
  </si>
  <si>
    <t>Ag</t>
  </si>
  <si>
    <t>Silver</t>
  </si>
  <si>
    <t>Pb</t>
  </si>
  <si>
    <t>Lead</t>
  </si>
  <si>
    <t>Ni3Al</t>
  </si>
  <si>
    <t>L12</t>
  </si>
  <si>
    <t>exp RT, gamma-prime</t>
  </si>
  <si>
    <t>Ni3Ga</t>
  </si>
  <si>
    <t>Ni3Si</t>
  </si>
  <si>
    <t>Ni3Fe</t>
  </si>
  <si>
    <t>Ni3Mn</t>
  </si>
  <si>
    <t>Ni3Pt</t>
  </si>
  <si>
    <t>Ni3Ti</t>
  </si>
  <si>
    <t>Ni3Ti (L12)</t>
  </si>
  <si>
    <t>metastable L12; stable is D024</t>
  </si>
  <si>
    <t>Ni3(Al,Ti)</t>
  </si>
  <si>
    <t>gamma-prime typical</t>
  </si>
  <si>
    <t>typical superalloy gamma-prime</t>
  </si>
  <si>
    <t>Co3Ti</t>
  </si>
  <si>
    <t>Cu3Au</t>
  </si>
  <si>
    <t>exp RT, ordered</t>
  </si>
  <si>
    <t>Pt3Al</t>
  </si>
  <si>
    <t>exp</t>
  </si>
  <si>
    <t>Pt3Ti</t>
  </si>
  <si>
    <t>Fe3Al</t>
  </si>
  <si>
    <t>Fe3Al (L12-like)</t>
  </si>
  <si>
    <t>approx; stable is D03 a~5.79</t>
  </si>
  <si>
    <t>MXene in-plane lattice constants, including ordered double transition metals</t>
  </si>
  <si>
    <t>Formula</t>
  </si>
  <si>
    <t>Family</t>
  </si>
  <si>
    <t>Termination</t>
  </si>
  <si>
    <t>a (A)</t>
  </si>
  <si>
    <t>Row</t>
  </si>
  <si>
    <t>Ti2C</t>
  </si>
  <si>
    <t>single M2C</t>
  </si>
  <si>
    <t>none</t>
  </si>
  <si>
    <t>DFT PBE, Yorulmaz 2020</t>
  </si>
  <si>
    <t>V2C</t>
  </si>
  <si>
    <t>Cr2C</t>
  </si>
  <si>
    <t>Zr2C</t>
  </si>
  <si>
    <t>Nb2C</t>
  </si>
  <si>
    <t>Mo2C</t>
  </si>
  <si>
    <t>DFT PBE, Yorulmaz 2020; other PBE ~3.00</t>
  </si>
  <si>
    <t>Hf2C</t>
  </si>
  <si>
    <t>Ta2C</t>
  </si>
  <si>
    <t>W2C</t>
  </si>
  <si>
    <t>Ti3C2</t>
  </si>
  <si>
    <t>single M3C2</t>
  </si>
  <si>
    <t>V3C2</t>
  </si>
  <si>
    <t>Nb3C2</t>
  </si>
  <si>
    <t>Mo3C2</t>
  </si>
  <si>
    <t>Ti4C3</t>
  </si>
  <si>
    <t>single M4C3</t>
  </si>
  <si>
    <t>DFT+D2 2025</t>
  </si>
  <si>
    <t>Nb4C3</t>
  </si>
  <si>
    <t>DFT+D2 2025; exp ~3.13</t>
  </si>
  <si>
    <t>Mo2TiC2</t>
  </si>
  <si>
    <t>ordered DTM</t>
  </si>
  <si>
    <t>DFT, RSC SEF 2024 SI</t>
  </si>
  <si>
    <t>Mo2VC2</t>
  </si>
  <si>
    <t>Mo2NbC2</t>
  </si>
  <si>
    <t>Mo2TaC2</t>
  </si>
  <si>
    <t>Cr2TiC2</t>
  </si>
  <si>
    <t>Cr2VC2</t>
  </si>
  <si>
    <t>Cr2NbC2</t>
  </si>
  <si>
    <t>Cr2TaC2</t>
  </si>
  <si>
    <t>Ti2NbC2</t>
  </si>
  <si>
    <t>Ti2TaC2</t>
  </si>
  <si>
    <t>V2TiC2</t>
  </si>
  <si>
    <t>V2TaC2</t>
  </si>
  <si>
    <t>Mo2TiC2O2</t>
  </si>
  <si>
    <t>O</t>
  </si>
  <si>
    <t>DFT multilayer, figshare 2021</t>
  </si>
  <si>
    <t>Cr2TiC2O2</t>
  </si>
  <si>
    <t>Mo2ScC2O2</t>
  </si>
  <si>
    <t>Cr2VC2O2</t>
  </si>
  <si>
    <t>Ti2VCNO2</t>
  </si>
  <si>
    <t>ordered carbonitride</t>
  </si>
  <si>
    <t>DFT, npj Comput Mater 2021</t>
  </si>
  <si>
    <t>Ti2NbCNO2</t>
  </si>
  <si>
    <t>Ti2MoCNO2</t>
  </si>
  <si>
    <t>Ti2TaCNO2</t>
  </si>
  <si>
    <t>V2TiCNO2</t>
  </si>
  <si>
    <t>Nb2TiCNO2</t>
  </si>
  <si>
    <t>Zr2NbCNO2</t>
  </si>
  <si>
    <t>Mo2TiCNO2</t>
  </si>
  <si>
    <t>Mo2NbCNO2</t>
  </si>
  <si>
    <t>Cr2TiCNO2</t>
  </si>
  <si>
    <t>(Ti0.5Nb0.5)2C</t>
  </si>
  <si>
    <t>solid solution</t>
  </si>
  <si>
    <t>Vegard Ti2C+Nb2C</t>
  </si>
  <si>
    <t>(Ti0.5V0.5)2C</t>
  </si>
  <si>
    <t>Vegard Ti2C+V2C</t>
  </si>
  <si>
    <t>(V0.5Nb0.5)2C</t>
  </si>
  <si>
    <t>Vegard V2C+Nb2C</t>
  </si>
  <si>
    <t>(Mo0.5Ti0.5)3C2</t>
  </si>
  <si>
    <t>Vegard Mo3C2+Ti3C2</t>
  </si>
  <si>
    <t>Ti3C2Tx</t>
  </si>
  <si>
    <t>experimental</t>
  </si>
  <si>
    <t>O/F/OH</t>
  </si>
  <si>
    <t>PDF, Shi PRL 2014</t>
  </si>
  <si>
    <t>Lattice strain delta (%) = 100*(a_MXene - a_111)/a_111</t>
  </si>
  <si>
    <t>Row 3 is a_111 (A). Column B is a_MXene (A). L12 metals start after Pb. Formulas read Metals and MXenes.</t>
  </si>
  <si>
    <t>MXene</t>
  </si>
  <si>
    <t>Absolute strain |delta| (%)</t>
  </si>
  <si>
    <t>Pairs with |strain| &lt;= 4% (1x1)</t>
  </si>
  <si>
    <t>Ranked from the input lattices. Strain formulas point at the Strain sheet.</t>
  </si>
  <si>
    <t>Rank</t>
  </si>
  <si>
    <t>a_MXene</t>
  </si>
  <si>
    <t>Metal</t>
  </si>
  <si>
    <t>a_111</t>
  </si>
  <si>
    <t>strain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</si>
</sst>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0">
    <font>
      <sz val="11"/>
      <color rgb="FF000000"/>
      <name val="Calibri"/>
      <family val="2"/>
      <charset val="1"/>
    </font>
    <font>
      <b/>
      <sz val="16"/>
      <color rgb="FF1F4E79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sz val="9"/>
      <color rgb="FF0000FF"/>
      <name val="Arial"/>
      <charset val="1"/>
    </font>
    <font>
      <i/>
      <sz val="8"/>
      <color rgb="FF595959"/>
      <name val="Arial"/>
      <charset val="1"/>
    </font>
    <font>
      <b/>
      <sz val="8"/>
      <name val="Arial"/>
      <charset val="1"/>
    </font>
    <font>
      <sz val="8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E8DAEF"/>
        <bgColor rgb="FFD0D0D0"/>
      </patternFill>
    </fill>
    <fill>
      <patternFill patternType="solid">
        <fgColor rgb="FF5B2C6F"/>
        <bgColor rgb="FF66006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165" fontId="9" fillId="0" borderId="0" xfId="0" applyNumberFormat="1" applyFont="1" applyAlignment="1">
      <alignment horizontal="center" vertical="center" wrapText="1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 textRotation="90"/>
    </xf>
    <xf numFmtId="165" fontId="0" fillId="0" borderId="1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E8DAE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B2C6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"/>
  <sheetViews>
    <sheetView tabSelected="1" zoomScaleNormal="100" workbookViewId="0"/>
  </sheetViews>
  <sheetFormatPr defaultColWidth="8.7109375" defaultRowHeight="15"/>
  <cols>
    <col min="1" max="1" width="117.85546875" customWidth="1"/>
  </cols>
  <sheetData>
    <row r="1" spans="1:6">
      <c r="A1" s="23" t="s">
        <v>0</v>
      </c>
      <c r="B1" s="23"/>
      <c r="C1" s="23"/>
      <c r="D1" s="23"/>
      <c r="E1" s="23"/>
      <c r="F1" s="23"/>
    </row>
    <row r="3" spans="1:6" ht="19.5" customHeight="1">
      <c r="A3" s="24" t="s">
        <v>1</v>
      </c>
      <c r="B3" s="24"/>
      <c r="C3" s="24"/>
      <c r="D3" s="24"/>
      <c r="E3" s="24"/>
      <c r="F3" s="24"/>
    </row>
    <row r="4" spans="1:6" ht="19.5" customHeight="1">
      <c r="A4" s="24" t="s">
        <v>2</v>
      </c>
      <c r="B4" s="24"/>
      <c r="C4" s="24"/>
      <c r="D4" s="24"/>
      <c r="E4" s="24"/>
      <c r="F4" s="24"/>
    </row>
    <row r="5" spans="1:6" ht="19.5" customHeight="1">
      <c r="A5" s="24" t="s">
        <v>3</v>
      </c>
      <c r="B5" s="24"/>
      <c r="C5" s="24"/>
      <c r="D5" s="24"/>
      <c r="E5" s="24"/>
      <c r="F5" s="24"/>
    </row>
    <row r="6" spans="1:6" ht="19.5" customHeight="1">
      <c r="A6" s="24" t="s">
        <v>4</v>
      </c>
      <c r="B6" s="24"/>
      <c r="C6" s="24"/>
      <c r="D6" s="24"/>
      <c r="E6" s="24"/>
      <c r="F6" s="24"/>
    </row>
    <row r="7" spans="1:6" ht="19.5" customHeight="1">
      <c r="A7" s="24" t="s">
        <v>5</v>
      </c>
      <c r="B7" s="24"/>
      <c r="C7" s="24"/>
      <c r="D7" s="24"/>
      <c r="E7" s="24"/>
      <c r="F7" s="24"/>
    </row>
    <row r="8" spans="1:6" ht="19.5" customHeight="1">
      <c r="A8" s="24" t="s">
        <v>6</v>
      </c>
      <c r="B8" s="24"/>
      <c r="C8" s="24"/>
      <c r="D8" s="24"/>
      <c r="E8" s="24"/>
      <c r="F8" s="24"/>
    </row>
    <row r="9" spans="1:6" ht="19.5" customHeight="1">
      <c r="A9" s="24" t="s">
        <v>7</v>
      </c>
      <c r="B9" s="24"/>
      <c r="C9" s="24"/>
      <c r="D9" s="24"/>
      <c r="E9" s="24"/>
      <c r="F9" s="24"/>
    </row>
    <row r="10" spans="1:6" ht="19.5" customHeight="1">
      <c r="A10" s="24" t="s">
        <v>8</v>
      </c>
      <c r="B10" s="24"/>
      <c r="C10" s="24"/>
      <c r="D10" s="24"/>
      <c r="E10" s="24"/>
      <c r="F10" s="24"/>
    </row>
  </sheetData>
  <mergeCells count="9">
    <mergeCell ref="A7:F7"/>
    <mergeCell ref="A8:F8"/>
    <mergeCell ref="A9:F9"/>
    <mergeCell ref="A10:F10"/>
    <mergeCell ref="A1:F1"/>
    <mergeCell ref="A3:F3"/>
    <mergeCell ref="A4:F4"/>
    <mergeCell ref="A5:F5"/>
    <mergeCell ref="A6:F6"/>
  </mergeCells>
  <pageMargins left="0.4" right="0.4" top="0.6" bottom="0.5" header="0.5" footer="0.5"/>
  <pageSetup orientation="landscape" horizontalDpi="300" verticalDpi="300"/>
  <headerFooter>
    <oddHeader>&amp;LNotes</oddHeader>
    <oddFooter>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7"/>
  <sheetViews>
    <sheetView zoomScaleNormal="100" workbookViewId="0">
      <pane ySplit="3" topLeftCell="A4" activePane="bottomLeft" state="frozen"/>
      <selection pane="bottomLeft" sqref="A1:F1"/>
    </sheetView>
  </sheetViews>
  <sheetFormatPr defaultColWidth="8.7109375" defaultRowHeight="15"/>
  <cols>
    <col min="1" max="1" width="16" customWidth="1"/>
    <col min="2" max="2" width="24" customWidth="1"/>
    <col min="3" max="3" width="12" customWidth="1"/>
    <col min="4" max="5" width="14" customWidth="1"/>
    <col min="6" max="6" width="36" customWidth="1"/>
  </cols>
  <sheetData>
    <row r="1" spans="1:6">
      <c r="A1" s="23" t="s">
        <v>9</v>
      </c>
      <c r="B1" s="23"/>
      <c r="C1" s="23"/>
      <c r="D1" s="23"/>
      <c r="E1" s="23"/>
      <c r="F1" s="23"/>
    </row>
    <row r="3" spans="1:6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>
      <c r="A4" s="2" t="s">
        <v>16</v>
      </c>
      <c r="B4" s="3" t="s">
        <v>17</v>
      </c>
      <c r="C4" s="3" t="s">
        <v>18</v>
      </c>
      <c r="D4" s="4">
        <v>3.5240999999999998</v>
      </c>
      <c r="E4" s="5">
        <f>D4/SQRT(2)</f>
        <v>2.4919150075795118</v>
      </c>
      <c r="F4" s="6" t="s">
        <v>19</v>
      </c>
    </row>
    <row r="5" spans="1:6">
      <c r="A5" s="2" t="s">
        <v>20</v>
      </c>
      <c r="B5" s="3" t="s">
        <v>21</v>
      </c>
      <c r="C5" s="3" t="s">
        <v>18</v>
      </c>
      <c r="D5" s="4">
        <v>3.5446</v>
      </c>
      <c r="E5" s="5">
        <f>D5/SQRT(2)</f>
        <v>2.5064106965938362</v>
      </c>
      <c r="F5" s="6" t="s">
        <v>22</v>
      </c>
    </row>
    <row r="6" spans="1:6">
      <c r="A6" s="2" t="s">
        <v>23</v>
      </c>
      <c r="B6" s="3" t="s">
        <v>24</v>
      </c>
      <c r="C6" s="3" t="s">
        <v>18</v>
      </c>
      <c r="D6" s="4">
        <v>3.6149</v>
      </c>
      <c r="E6" s="5">
        <f>D6/SQRT(2)</f>
        <v>2.5561203033112503</v>
      </c>
      <c r="F6" s="6" t="s">
        <v>19</v>
      </c>
    </row>
    <row r="7" spans="1:6">
      <c r="A7" s="2" t="s">
        <v>25</v>
      </c>
      <c r="B7" s="3" t="s">
        <v>26</v>
      </c>
      <c r="C7" s="3" t="s">
        <v>18</v>
      </c>
      <c r="D7" s="4">
        <v>3.8033999999999999</v>
      </c>
      <c r="E7" s="5">
        <f>D7/SQRT(2)</f>
        <v>2.6894099315649145</v>
      </c>
      <c r="F7" s="6" t="s">
        <v>19</v>
      </c>
    </row>
    <row r="8" spans="1:6">
      <c r="A8" s="2" t="s">
        <v>27</v>
      </c>
      <c r="B8" s="3" t="s">
        <v>28</v>
      </c>
      <c r="C8" s="3" t="s">
        <v>18</v>
      </c>
      <c r="D8" s="4">
        <v>3.8393999999999999</v>
      </c>
      <c r="E8" s="5">
        <f>D8/SQRT(2)</f>
        <v>2.7148657756876302</v>
      </c>
      <c r="F8" s="6" t="s">
        <v>19</v>
      </c>
    </row>
    <row r="9" spans="1:6">
      <c r="A9" s="2" t="s">
        <v>29</v>
      </c>
      <c r="B9" s="3" t="s">
        <v>30</v>
      </c>
      <c r="C9" s="3" t="s">
        <v>18</v>
      </c>
      <c r="D9" s="4">
        <v>3.8906999999999998</v>
      </c>
      <c r="E9" s="5">
        <f>D9/SQRT(2)</f>
        <v>2.7511403535625001</v>
      </c>
      <c r="F9" s="6" t="s">
        <v>19</v>
      </c>
    </row>
    <row r="10" spans="1:6">
      <c r="A10" s="2" t="s">
        <v>31</v>
      </c>
      <c r="B10" s="3" t="s">
        <v>32</v>
      </c>
      <c r="C10" s="3" t="s">
        <v>18</v>
      </c>
      <c r="D10" s="4">
        <v>3.9239000000000002</v>
      </c>
      <c r="E10" s="5">
        <f>D10/SQRT(2)</f>
        <v>2.7746162986978939</v>
      </c>
      <c r="F10" s="6" t="s">
        <v>19</v>
      </c>
    </row>
    <row r="11" spans="1:6">
      <c r="A11" s="2" t="s">
        <v>33</v>
      </c>
      <c r="B11" s="3" t="s">
        <v>34</v>
      </c>
      <c r="C11" s="3" t="s">
        <v>18</v>
      </c>
      <c r="D11" s="4">
        <v>4.0495999999999999</v>
      </c>
      <c r="E11" s="5">
        <f>D11/SQRT(2)</f>
        <v>2.8634996210930423</v>
      </c>
      <c r="F11" s="6" t="s">
        <v>19</v>
      </c>
    </row>
    <row r="12" spans="1:6">
      <c r="A12" s="2" t="s">
        <v>35</v>
      </c>
      <c r="B12" s="3" t="s">
        <v>36</v>
      </c>
      <c r="C12" s="3" t="s">
        <v>18</v>
      </c>
      <c r="D12" s="4">
        <v>4.0781999999999998</v>
      </c>
      <c r="E12" s="5">
        <f>D12/SQRT(2)</f>
        <v>2.8837228750349779</v>
      </c>
      <c r="F12" s="6" t="s">
        <v>19</v>
      </c>
    </row>
    <row r="13" spans="1:6">
      <c r="A13" s="2" t="s">
        <v>37</v>
      </c>
      <c r="B13" s="3" t="s">
        <v>38</v>
      </c>
      <c r="C13" s="3" t="s">
        <v>18</v>
      </c>
      <c r="D13" s="4">
        <v>4.0853000000000002</v>
      </c>
      <c r="E13" s="5">
        <f>D13/SQRT(2)</f>
        <v>2.8887433331814023</v>
      </c>
      <c r="F13" s="6" t="s">
        <v>19</v>
      </c>
    </row>
    <row r="14" spans="1:6">
      <c r="A14" s="2" t="s">
        <v>39</v>
      </c>
      <c r="B14" s="3" t="s">
        <v>40</v>
      </c>
      <c r="C14" s="3" t="s">
        <v>18</v>
      </c>
      <c r="D14" s="4">
        <v>4.9501999999999997</v>
      </c>
      <c r="E14" s="5">
        <f>D14/SQRT(2)</f>
        <v>3.5003199882296472</v>
      </c>
      <c r="F14" s="6" t="s">
        <v>19</v>
      </c>
    </row>
    <row r="15" spans="1:6">
      <c r="A15" s="2" t="s">
        <v>41</v>
      </c>
      <c r="B15" s="3" t="s">
        <v>41</v>
      </c>
      <c r="C15" s="7" t="s">
        <v>42</v>
      </c>
      <c r="D15" s="4">
        <v>3.5720000000000001</v>
      </c>
      <c r="E15" s="5">
        <f>D15/SQRT(2)</f>
        <v>2.5257854223983478</v>
      </c>
      <c r="F15" s="6" t="s">
        <v>43</v>
      </c>
    </row>
    <row r="16" spans="1:6">
      <c r="A16" s="2" t="s">
        <v>44</v>
      </c>
      <c r="B16" s="3" t="s">
        <v>44</v>
      </c>
      <c r="C16" s="7" t="s">
        <v>42</v>
      </c>
      <c r="D16" s="4">
        <v>3.5760000000000001</v>
      </c>
      <c r="E16" s="5">
        <f>D16/SQRT(2)</f>
        <v>2.5286138495230936</v>
      </c>
      <c r="F16" s="6" t="s">
        <v>19</v>
      </c>
    </row>
    <row r="17" spans="1:6">
      <c r="A17" s="2" t="s">
        <v>45</v>
      </c>
      <c r="B17" s="3" t="s">
        <v>45</v>
      </c>
      <c r="C17" s="7" t="s">
        <v>42</v>
      </c>
      <c r="D17" s="4">
        <v>3.504</v>
      </c>
      <c r="E17" s="5">
        <f>D17/SQRT(2)</f>
        <v>2.4777021612776622</v>
      </c>
      <c r="F17" s="6" t="s">
        <v>19</v>
      </c>
    </row>
    <row r="18" spans="1:6">
      <c r="A18" s="2" t="s">
        <v>46</v>
      </c>
      <c r="B18" s="3" t="s">
        <v>46</v>
      </c>
      <c r="C18" s="7" t="s">
        <v>42</v>
      </c>
      <c r="D18" s="4">
        <v>3.5550000000000002</v>
      </c>
      <c r="E18" s="5">
        <f>D18/SQRT(2)</f>
        <v>2.5137646071181763</v>
      </c>
      <c r="F18" s="6" t="s">
        <v>19</v>
      </c>
    </row>
    <row r="19" spans="1:6">
      <c r="A19" s="2" t="s">
        <v>47</v>
      </c>
      <c r="B19" s="3" t="s">
        <v>47</v>
      </c>
      <c r="C19" s="7" t="s">
        <v>42</v>
      </c>
      <c r="D19" s="4">
        <v>3.589</v>
      </c>
      <c r="E19" s="5">
        <f>D19/SQRT(2)</f>
        <v>2.5378062376785189</v>
      </c>
      <c r="F19" s="6" t="s">
        <v>19</v>
      </c>
    </row>
    <row r="20" spans="1:6">
      <c r="A20" s="2" t="s">
        <v>48</v>
      </c>
      <c r="B20" s="3" t="s">
        <v>48</v>
      </c>
      <c r="C20" s="7" t="s">
        <v>42</v>
      </c>
      <c r="D20" s="4">
        <v>3.6459999999999999</v>
      </c>
      <c r="E20" s="5">
        <f>D20/SQRT(2)</f>
        <v>2.578111324206152</v>
      </c>
      <c r="F20" s="6" t="s">
        <v>19</v>
      </c>
    </row>
    <row r="21" spans="1:6">
      <c r="A21" s="2" t="s">
        <v>49</v>
      </c>
      <c r="B21" s="3" t="s">
        <v>50</v>
      </c>
      <c r="C21" s="7" t="s">
        <v>42</v>
      </c>
      <c r="D21" s="4">
        <v>3.61</v>
      </c>
      <c r="E21" s="5">
        <f>D21/SQRT(2)</f>
        <v>2.5526554800834362</v>
      </c>
      <c r="F21" s="6" t="s">
        <v>51</v>
      </c>
    </row>
    <row r="22" spans="1:6">
      <c r="A22" s="2" t="s">
        <v>52</v>
      </c>
      <c r="B22" s="3" t="s">
        <v>53</v>
      </c>
      <c r="C22" s="7" t="s">
        <v>42</v>
      </c>
      <c r="D22" s="4">
        <v>3.58</v>
      </c>
      <c r="E22" s="5">
        <f>D22/SQRT(2)</f>
        <v>2.5314422766478399</v>
      </c>
      <c r="F22" s="6" t="s">
        <v>54</v>
      </c>
    </row>
    <row r="23" spans="1:6">
      <c r="A23" s="2" t="s">
        <v>55</v>
      </c>
      <c r="B23" s="3" t="s">
        <v>55</v>
      </c>
      <c r="C23" s="7" t="s">
        <v>42</v>
      </c>
      <c r="D23" s="4">
        <v>3.6139999999999999</v>
      </c>
      <c r="E23" s="5">
        <f>D23/SQRT(2)</f>
        <v>2.5554839072081825</v>
      </c>
      <c r="F23" s="6" t="s">
        <v>19</v>
      </c>
    </row>
    <row r="24" spans="1:6">
      <c r="A24" s="2" t="s">
        <v>56</v>
      </c>
      <c r="B24" s="3" t="s">
        <v>56</v>
      </c>
      <c r="C24" s="7" t="s">
        <v>42</v>
      </c>
      <c r="D24" s="4">
        <v>3.7490000000000001</v>
      </c>
      <c r="E24" s="5">
        <f>D24/SQRT(2)</f>
        <v>2.6509433226683665</v>
      </c>
      <c r="F24" s="6" t="s">
        <v>57</v>
      </c>
    </row>
    <row r="25" spans="1:6">
      <c r="A25" s="2" t="s">
        <v>58</v>
      </c>
      <c r="B25" s="3" t="s">
        <v>58</v>
      </c>
      <c r="C25" s="7" t="s">
        <v>42</v>
      </c>
      <c r="D25" s="4">
        <v>3.8759999999999999</v>
      </c>
      <c r="E25" s="5">
        <f>D25/SQRT(2)</f>
        <v>2.7407458838790579</v>
      </c>
      <c r="F25" s="6" t="s">
        <v>59</v>
      </c>
    </row>
    <row r="26" spans="1:6">
      <c r="A26" s="2" t="s">
        <v>60</v>
      </c>
      <c r="B26" s="3" t="s">
        <v>60</v>
      </c>
      <c r="C26" s="7" t="s">
        <v>42</v>
      </c>
      <c r="D26" s="4">
        <v>3.9060000000000001</v>
      </c>
      <c r="E26" s="5">
        <f>D26/SQRT(2)</f>
        <v>2.7619590873146547</v>
      </c>
      <c r="F26" s="6" t="s">
        <v>59</v>
      </c>
    </row>
    <row r="27" spans="1:6">
      <c r="A27" s="2" t="s">
        <v>61</v>
      </c>
      <c r="B27" s="3" t="s">
        <v>62</v>
      </c>
      <c r="C27" s="7" t="s">
        <v>42</v>
      </c>
      <c r="D27" s="4">
        <v>3.65</v>
      </c>
      <c r="E27" s="5">
        <f>D27/SQRT(2)</f>
        <v>2.5809397513308983</v>
      </c>
      <c r="F27" s="6" t="s">
        <v>63</v>
      </c>
    </row>
  </sheetData>
  <autoFilter ref="A3:F27" xr:uid="{00000000-0009-0000-0000-000001000000}"/>
  <mergeCells count="1">
    <mergeCell ref="A1:F1"/>
  </mergeCells>
  <pageMargins left="0.4" right="0.4" top="0.6" bottom="0.5" header="0.5" footer="0.5"/>
  <pageSetup orientation="landscape" horizontalDpi="300" verticalDpi="300"/>
  <headerFooter>
    <oddHeader>&amp;LMetals</oddHeader>
    <oddFooter>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49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2" width="22" customWidth="1"/>
    <col min="3" max="3" width="14" customWidth="1"/>
    <col min="4" max="4" width="12" customWidth="1"/>
    <col min="5" max="5" width="42" customWidth="1"/>
    <col min="6" max="6" width="8" customWidth="1"/>
  </cols>
  <sheetData>
    <row r="1" spans="1:6">
      <c r="A1" s="23" t="s">
        <v>64</v>
      </c>
      <c r="B1" s="23"/>
      <c r="C1" s="23"/>
      <c r="D1" s="23"/>
      <c r="E1" s="23"/>
      <c r="F1" s="23"/>
    </row>
    <row r="3" spans="1:6">
      <c r="A3" s="1" t="s">
        <v>65</v>
      </c>
      <c r="B3" s="1" t="s">
        <v>66</v>
      </c>
      <c r="C3" s="1" t="s">
        <v>67</v>
      </c>
      <c r="D3" s="1" t="s">
        <v>68</v>
      </c>
      <c r="E3" s="1" t="s">
        <v>15</v>
      </c>
      <c r="F3" s="1" t="s">
        <v>69</v>
      </c>
    </row>
    <row r="4" spans="1:6">
      <c r="A4" s="8" t="s">
        <v>70</v>
      </c>
      <c r="B4" s="9" t="s">
        <v>71</v>
      </c>
      <c r="C4" s="3" t="s">
        <v>72</v>
      </c>
      <c r="D4" s="10">
        <v>3.0390000000000001</v>
      </c>
      <c r="E4" s="6" t="s">
        <v>73</v>
      </c>
      <c r="F4" s="11">
        <v>1</v>
      </c>
    </row>
    <row r="5" spans="1:6">
      <c r="A5" s="8" t="s">
        <v>74</v>
      </c>
      <c r="B5" s="9" t="s">
        <v>71</v>
      </c>
      <c r="C5" s="3" t="s">
        <v>72</v>
      </c>
      <c r="D5" s="10">
        <v>2.8809999999999998</v>
      </c>
      <c r="E5" s="6" t="s">
        <v>73</v>
      </c>
      <c r="F5" s="11">
        <v>2</v>
      </c>
    </row>
    <row r="6" spans="1:6">
      <c r="A6" s="8" t="s">
        <v>75</v>
      </c>
      <c r="B6" s="9" t="s">
        <v>71</v>
      </c>
      <c r="C6" s="3" t="s">
        <v>72</v>
      </c>
      <c r="D6" s="10">
        <v>2.8250000000000002</v>
      </c>
      <c r="E6" s="6" t="s">
        <v>73</v>
      </c>
      <c r="F6" s="11">
        <v>3</v>
      </c>
    </row>
    <row r="7" spans="1:6">
      <c r="A7" s="8" t="s">
        <v>76</v>
      </c>
      <c r="B7" s="9" t="s">
        <v>71</v>
      </c>
      <c r="C7" s="3" t="s">
        <v>72</v>
      </c>
      <c r="D7" s="10">
        <v>3.28</v>
      </c>
      <c r="E7" s="6" t="s">
        <v>73</v>
      </c>
      <c r="F7" s="11">
        <v>4</v>
      </c>
    </row>
    <row r="8" spans="1:6">
      <c r="A8" s="8" t="s">
        <v>77</v>
      </c>
      <c r="B8" s="9" t="s">
        <v>71</v>
      </c>
      <c r="C8" s="3" t="s">
        <v>72</v>
      </c>
      <c r="D8" s="10">
        <v>3.1040000000000001</v>
      </c>
      <c r="E8" s="6" t="s">
        <v>73</v>
      </c>
      <c r="F8" s="11">
        <v>5</v>
      </c>
    </row>
    <row r="9" spans="1:6">
      <c r="A9" s="8" t="s">
        <v>78</v>
      </c>
      <c r="B9" s="9" t="s">
        <v>71</v>
      </c>
      <c r="C9" s="3" t="s">
        <v>72</v>
      </c>
      <c r="D9" s="10">
        <v>2.8479999999999999</v>
      </c>
      <c r="E9" s="6" t="s">
        <v>79</v>
      </c>
      <c r="F9" s="11">
        <v>6</v>
      </c>
    </row>
    <row r="10" spans="1:6">
      <c r="A10" s="8" t="s">
        <v>80</v>
      </c>
      <c r="B10" s="9" t="s">
        <v>71</v>
      </c>
      <c r="C10" s="3" t="s">
        <v>72</v>
      </c>
      <c r="D10" s="10">
        <v>3.1949999999999998</v>
      </c>
      <c r="E10" s="6" t="s">
        <v>73</v>
      </c>
      <c r="F10" s="11">
        <v>7</v>
      </c>
    </row>
    <row r="11" spans="1:6">
      <c r="A11" s="8" t="s">
        <v>81</v>
      </c>
      <c r="B11" s="9" t="s">
        <v>71</v>
      </c>
      <c r="C11" s="3" t="s">
        <v>72</v>
      </c>
      <c r="D11" s="10">
        <v>3.0670000000000002</v>
      </c>
      <c r="E11" s="6" t="s">
        <v>73</v>
      </c>
      <c r="F11" s="11">
        <v>8</v>
      </c>
    </row>
    <row r="12" spans="1:6">
      <c r="A12" s="8" t="s">
        <v>82</v>
      </c>
      <c r="B12" s="9" t="s">
        <v>71</v>
      </c>
      <c r="C12" s="3" t="s">
        <v>72</v>
      </c>
      <c r="D12" s="10">
        <v>2.847</v>
      </c>
      <c r="E12" s="6" t="s">
        <v>73</v>
      </c>
      <c r="F12" s="11">
        <v>9</v>
      </c>
    </row>
    <row r="13" spans="1:6">
      <c r="A13" s="8" t="s">
        <v>83</v>
      </c>
      <c r="B13" s="9" t="s">
        <v>84</v>
      </c>
      <c r="C13" s="3" t="s">
        <v>72</v>
      </c>
      <c r="D13" s="10">
        <v>3.1040000000000001</v>
      </c>
      <c r="E13" s="6" t="s">
        <v>73</v>
      </c>
      <c r="F13" s="11">
        <v>10</v>
      </c>
    </row>
    <row r="14" spans="1:6">
      <c r="A14" s="8" t="s">
        <v>85</v>
      </c>
      <c r="B14" s="9" t="s">
        <v>84</v>
      </c>
      <c r="C14" s="3" t="s">
        <v>72</v>
      </c>
      <c r="D14" s="10">
        <v>2.96</v>
      </c>
      <c r="E14" s="6" t="s">
        <v>73</v>
      </c>
      <c r="F14" s="11">
        <v>11</v>
      </c>
    </row>
    <row r="15" spans="1:6">
      <c r="A15" s="8" t="s">
        <v>86</v>
      </c>
      <c r="B15" s="9" t="s">
        <v>84</v>
      </c>
      <c r="C15" s="3" t="s">
        <v>72</v>
      </c>
      <c r="D15" s="10">
        <v>3.153</v>
      </c>
      <c r="E15" s="6" t="s">
        <v>73</v>
      </c>
      <c r="F15" s="11">
        <v>12</v>
      </c>
    </row>
    <row r="16" spans="1:6">
      <c r="A16" s="8" t="s">
        <v>87</v>
      </c>
      <c r="B16" s="9" t="s">
        <v>84</v>
      </c>
      <c r="C16" s="3" t="s">
        <v>72</v>
      </c>
      <c r="D16" s="10">
        <v>3.0249999999999999</v>
      </c>
      <c r="E16" s="6" t="s">
        <v>73</v>
      </c>
      <c r="F16" s="11">
        <v>13</v>
      </c>
    </row>
    <row r="17" spans="1:6">
      <c r="A17" s="8" t="s">
        <v>88</v>
      </c>
      <c r="B17" s="9" t="s">
        <v>89</v>
      </c>
      <c r="C17" s="3" t="s">
        <v>72</v>
      </c>
      <c r="D17" s="10">
        <v>3.09</v>
      </c>
      <c r="E17" s="6" t="s">
        <v>90</v>
      </c>
      <c r="F17" s="11">
        <v>14</v>
      </c>
    </row>
    <row r="18" spans="1:6">
      <c r="A18" s="8" t="s">
        <v>91</v>
      </c>
      <c r="B18" s="9" t="s">
        <v>89</v>
      </c>
      <c r="C18" s="3" t="s">
        <v>72</v>
      </c>
      <c r="D18" s="10">
        <v>3.13</v>
      </c>
      <c r="E18" s="6" t="s">
        <v>92</v>
      </c>
      <c r="F18" s="11">
        <v>15</v>
      </c>
    </row>
    <row r="19" spans="1:6">
      <c r="A19" s="8" t="s">
        <v>93</v>
      </c>
      <c r="B19" s="9" t="s">
        <v>94</v>
      </c>
      <c r="C19" s="3" t="s">
        <v>72</v>
      </c>
      <c r="D19" s="10">
        <v>3.1669999999999998</v>
      </c>
      <c r="E19" s="6" t="s">
        <v>95</v>
      </c>
      <c r="F19" s="11">
        <v>16</v>
      </c>
    </row>
    <row r="20" spans="1:6">
      <c r="A20" s="8" t="s">
        <v>96</v>
      </c>
      <c r="B20" s="9" t="s">
        <v>94</v>
      </c>
      <c r="C20" s="3" t="s">
        <v>72</v>
      </c>
      <c r="D20" s="10">
        <v>3.18</v>
      </c>
      <c r="E20" s="6" t="s">
        <v>95</v>
      </c>
      <c r="F20" s="11">
        <v>17</v>
      </c>
    </row>
    <row r="21" spans="1:6">
      <c r="A21" s="8" t="s">
        <v>97</v>
      </c>
      <c r="B21" s="9" t="s">
        <v>94</v>
      </c>
      <c r="C21" s="3" t="s">
        <v>72</v>
      </c>
      <c r="D21" s="10">
        <v>3.282</v>
      </c>
      <c r="E21" s="6" t="s">
        <v>95</v>
      </c>
      <c r="F21" s="11">
        <v>18</v>
      </c>
    </row>
    <row r="22" spans="1:6">
      <c r="A22" s="8" t="s">
        <v>98</v>
      </c>
      <c r="B22" s="9" t="s">
        <v>94</v>
      </c>
      <c r="C22" s="3" t="s">
        <v>72</v>
      </c>
      <c r="D22" s="10">
        <v>3.1339999999999999</v>
      </c>
      <c r="E22" s="6" t="s">
        <v>95</v>
      </c>
      <c r="F22" s="11">
        <v>19</v>
      </c>
    </row>
    <row r="23" spans="1:6">
      <c r="A23" s="8" t="s">
        <v>99</v>
      </c>
      <c r="B23" s="9" t="s">
        <v>94</v>
      </c>
      <c r="C23" s="3" t="s">
        <v>72</v>
      </c>
      <c r="D23" s="10">
        <v>3.0350000000000001</v>
      </c>
      <c r="E23" s="6" t="s">
        <v>95</v>
      </c>
      <c r="F23" s="11">
        <v>20</v>
      </c>
    </row>
    <row r="24" spans="1:6">
      <c r="A24" s="8" t="s">
        <v>100</v>
      </c>
      <c r="B24" s="9" t="s">
        <v>94</v>
      </c>
      <c r="C24" s="3" t="s">
        <v>72</v>
      </c>
      <c r="D24" s="10">
        <v>3.06</v>
      </c>
      <c r="E24" s="6" t="s">
        <v>95</v>
      </c>
      <c r="F24" s="11">
        <v>21</v>
      </c>
    </row>
    <row r="25" spans="1:6">
      <c r="A25" s="8" t="s">
        <v>101</v>
      </c>
      <c r="B25" s="9" t="s">
        <v>94</v>
      </c>
      <c r="C25" s="3" t="s">
        <v>72</v>
      </c>
      <c r="D25" s="10">
        <v>3.1749999999999998</v>
      </c>
      <c r="E25" s="6" t="s">
        <v>95</v>
      </c>
      <c r="F25" s="11">
        <v>22</v>
      </c>
    </row>
    <row r="26" spans="1:6">
      <c r="A26" s="8" t="s">
        <v>102</v>
      </c>
      <c r="B26" s="9" t="s">
        <v>94</v>
      </c>
      <c r="C26" s="3" t="s">
        <v>72</v>
      </c>
      <c r="D26" s="10">
        <v>3.1640000000000001</v>
      </c>
      <c r="E26" s="6" t="s">
        <v>95</v>
      </c>
      <c r="F26" s="11">
        <v>23</v>
      </c>
    </row>
    <row r="27" spans="1:6">
      <c r="A27" s="8" t="s">
        <v>103</v>
      </c>
      <c r="B27" s="9" t="s">
        <v>94</v>
      </c>
      <c r="C27" s="3" t="s">
        <v>72</v>
      </c>
      <c r="D27" s="10">
        <v>3.157</v>
      </c>
      <c r="E27" s="6" t="s">
        <v>95</v>
      </c>
      <c r="F27" s="11">
        <v>24</v>
      </c>
    </row>
    <row r="28" spans="1:6">
      <c r="A28" s="8" t="s">
        <v>104</v>
      </c>
      <c r="B28" s="9" t="s">
        <v>94</v>
      </c>
      <c r="C28" s="3" t="s">
        <v>72</v>
      </c>
      <c r="D28" s="10">
        <v>3.089</v>
      </c>
      <c r="E28" s="6" t="s">
        <v>95</v>
      </c>
      <c r="F28" s="11">
        <v>25</v>
      </c>
    </row>
    <row r="29" spans="1:6">
      <c r="A29" s="8" t="s">
        <v>105</v>
      </c>
      <c r="B29" s="9" t="s">
        <v>94</v>
      </c>
      <c r="C29" s="3" t="s">
        <v>72</v>
      </c>
      <c r="D29" s="10">
        <v>3.05</v>
      </c>
      <c r="E29" s="6" t="s">
        <v>95</v>
      </c>
      <c r="F29" s="11">
        <v>26</v>
      </c>
    </row>
    <row r="30" spans="1:6">
      <c r="A30" s="8" t="s">
        <v>106</v>
      </c>
      <c r="B30" s="9" t="s">
        <v>94</v>
      </c>
      <c r="C30" s="3" t="s">
        <v>72</v>
      </c>
      <c r="D30" s="10">
        <v>3.0910000000000002</v>
      </c>
      <c r="E30" s="6" t="s">
        <v>95</v>
      </c>
      <c r="F30" s="11">
        <v>27</v>
      </c>
    </row>
    <row r="31" spans="1:6">
      <c r="A31" s="8" t="s">
        <v>107</v>
      </c>
      <c r="B31" s="9" t="s">
        <v>94</v>
      </c>
      <c r="C31" s="3" t="s">
        <v>108</v>
      </c>
      <c r="D31" s="10">
        <v>2.9980000000000002</v>
      </c>
      <c r="E31" s="6" t="s">
        <v>109</v>
      </c>
      <c r="F31" s="11">
        <v>28</v>
      </c>
    </row>
    <row r="32" spans="1:6">
      <c r="A32" s="8" t="s">
        <v>110</v>
      </c>
      <c r="B32" s="9" t="s">
        <v>94</v>
      </c>
      <c r="C32" s="3" t="s">
        <v>108</v>
      </c>
      <c r="D32" s="10">
        <v>2.907</v>
      </c>
      <c r="E32" s="6" t="s">
        <v>109</v>
      </c>
      <c r="F32" s="11">
        <v>29</v>
      </c>
    </row>
    <row r="33" spans="1:6">
      <c r="A33" s="8" t="s">
        <v>111</v>
      </c>
      <c r="B33" s="9" t="s">
        <v>94</v>
      </c>
      <c r="C33" s="3" t="s">
        <v>108</v>
      </c>
      <c r="D33" s="10">
        <v>3.0430000000000001</v>
      </c>
      <c r="E33" s="6" t="s">
        <v>109</v>
      </c>
      <c r="F33" s="11">
        <v>30</v>
      </c>
    </row>
    <row r="34" spans="1:6">
      <c r="A34" s="8" t="s">
        <v>112</v>
      </c>
      <c r="B34" s="9" t="s">
        <v>94</v>
      </c>
      <c r="C34" s="3" t="s">
        <v>108</v>
      </c>
      <c r="D34" s="10">
        <v>2.9020000000000001</v>
      </c>
      <c r="E34" s="6" t="s">
        <v>109</v>
      </c>
      <c r="F34" s="11">
        <v>31</v>
      </c>
    </row>
    <row r="35" spans="1:6">
      <c r="A35" s="8" t="s">
        <v>113</v>
      </c>
      <c r="B35" s="9" t="s">
        <v>114</v>
      </c>
      <c r="C35" s="3" t="s">
        <v>108</v>
      </c>
      <c r="D35" s="10">
        <v>2.98</v>
      </c>
      <c r="E35" s="6" t="s">
        <v>115</v>
      </c>
      <c r="F35" s="11">
        <v>32</v>
      </c>
    </row>
    <row r="36" spans="1:6">
      <c r="A36" s="8" t="s">
        <v>116</v>
      </c>
      <c r="B36" s="9" t="s">
        <v>114</v>
      </c>
      <c r="C36" s="3" t="s">
        <v>108</v>
      </c>
      <c r="D36" s="10">
        <v>3.04</v>
      </c>
      <c r="E36" s="6" t="s">
        <v>115</v>
      </c>
      <c r="F36" s="11">
        <v>33</v>
      </c>
    </row>
    <row r="37" spans="1:6">
      <c r="A37" s="8" t="s">
        <v>117</v>
      </c>
      <c r="B37" s="9" t="s">
        <v>114</v>
      </c>
      <c r="C37" s="3" t="s">
        <v>108</v>
      </c>
      <c r="D37" s="10">
        <v>3</v>
      </c>
      <c r="E37" s="6" t="s">
        <v>115</v>
      </c>
      <c r="F37" s="11">
        <v>34</v>
      </c>
    </row>
    <row r="38" spans="1:6">
      <c r="A38" s="8" t="s">
        <v>118</v>
      </c>
      <c r="B38" s="9" t="s">
        <v>114</v>
      </c>
      <c r="C38" s="3" t="s">
        <v>108</v>
      </c>
      <c r="D38" s="10">
        <v>3.04</v>
      </c>
      <c r="E38" s="6" t="s">
        <v>115</v>
      </c>
      <c r="F38" s="11">
        <v>35</v>
      </c>
    </row>
    <row r="39" spans="1:6">
      <c r="A39" s="8" t="s">
        <v>119</v>
      </c>
      <c r="B39" s="9" t="s">
        <v>114</v>
      </c>
      <c r="C39" s="3" t="s">
        <v>108</v>
      </c>
      <c r="D39" s="10">
        <v>2.9</v>
      </c>
      <c r="E39" s="6" t="s">
        <v>115</v>
      </c>
      <c r="F39" s="11">
        <v>36</v>
      </c>
    </row>
    <row r="40" spans="1:6">
      <c r="A40" s="8" t="s">
        <v>120</v>
      </c>
      <c r="B40" s="9" t="s">
        <v>114</v>
      </c>
      <c r="C40" s="3" t="s">
        <v>108</v>
      </c>
      <c r="D40" s="10">
        <v>3.05</v>
      </c>
      <c r="E40" s="6" t="s">
        <v>115</v>
      </c>
      <c r="F40" s="11">
        <v>37</v>
      </c>
    </row>
    <row r="41" spans="1:6">
      <c r="A41" s="8" t="s">
        <v>121</v>
      </c>
      <c r="B41" s="9" t="s">
        <v>114</v>
      </c>
      <c r="C41" s="3" t="s">
        <v>108</v>
      </c>
      <c r="D41" s="10">
        <v>3.22</v>
      </c>
      <c r="E41" s="6" t="s">
        <v>115</v>
      </c>
      <c r="F41" s="11">
        <v>38</v>
      </c>
    </row>
    <row r="42" spans="1:6">
      <c r="A42" s="8" t="s">
        <v>122</v>
      </c>
      <c r="B42" s="9" t="s">
        <v>114</v>
      </c>
      <c r="C42" s="3" t="s">
        <v>108</v>
      </c>
      <c r="D42" s="10">
        <v>2.91</v>
      </c>
      <c r="E42" s="6" t="s">
        <v>115</v>
      </c>
      <c r="F42" s="11">
        <v>39</v>
      </c>
    </row>
    <row r="43" spans="1:6">
      <c r="A43" s="8" t="s">
        <v>123</v>
      </c>
      <c r="B43" s="9" t="s">
        <v>114</v>
      </c>
      <c r="C43" s="3" t="s">
        <v>108</v>
      </c>
      <c r="D43" s="10">
        <v>3.01</v>
      </c>
      <c r="E43" s="6" t="s">
        <v>115</v>
      </c>
      <c r="F43" s="11">
        <v>40</v>
      </c>
    </row>
    <row r="44" spans="1:6">
      <c r="A44" s="8" t="s">
        <v>124</v>
      </c>
      <c r="B44" s="9" t="s">
        <v>114</v>
      </c>
      <c r="C44" s="3" t="s">
        <v>108</v>
      </c>
      <c r="D44" s="10">
        <v>2.86</v>
      </c>
      <c r="E44" s="6" t="s">
        <v>115</v>
      </c>
      <c r="F44" s="11">
        <v>41</v>
      </c>
    </row>
    <row r="45" spans="1:6">
      <c r="A45" s="8" t="s">
        <v>125</v>
      </c>
      <c r="B45" s="9" t="s">
        <v>126</v>
      </c>
      <c r="C45" s="3" t="s">
        <v>72</v>
      </c>
      <c r="D45" s="10">
        <v>3.0720000000000001</v>
      </c>
      <c r="E45" s="6" t="s">
        <v>127</v>
      </c>
      <c r="F45" s="11">
        <v>42</v>
      </c>
    </row>
    <row r="46" spans="1:6">
      <c r="A46" s="8" t="s">
        <v>128</v>
      </c>
      <c r="B46" s="9" t="s">
        <v>126</v>
      </c>
      <c r="C46" s="3" t="s">
        <v>72</v>
      </c>
      <c r="D46" s="10">
        <v>2.96</v>
      </c>
      <c r="E46" s="6" t="s">
        <v>129</v>
      </c>
      <c r="F46" s="11">
        <v>43</v>
      </c>
    </row>
    <row r="47" spans="1:6">
      <c r="A47" s="8" t="s">
        <v>130</v>
      </c>
      <c r="B47" s="9" t="s">
        <v>126</v>
      </c>
      <c r="C47" s="3" t="s">
        <v>72</v>
      </c>
      <c r="D47" s="10">
        <v>2.9929999999999999</v>
      </c>
      <c r="E47" s="6" t="s">
        <v>131</v>
      </c>
      <c r="F47" s="11">
        <v>44</v>
      </c>
    </row>
    <row r="48" spans="1:6">
      <c r="A48" s="8" t="s">
        <v>132</v>
      </c>
      <c r="B48" s="9" t="s">
        <v>126</v>
      </c>
      <c r="C48" s="3" t="s">
        <v>72</v>
      </c>
      <c r="D48" s="10">
        <v>3.0649999999999999</v>
      </c>
      <c r="E48" s="6" t="s">
        <v>133</v>
      </c>
      <c r="F48" s="11">
        <v>45</v>
      </c>
    </row>
    <row r="49" spans="1:6">
      <c r="A49" s="8" t="s">
        <v>134</v>
      </c>
      <c r="B49" s="9" t="s">
        <v>135</v>
      </c>
      <c r="C49" s="3" t="s">
        <v>136</v>
      </c>
      <c r="D49" s="10">
        <v>3.0505</v>
      </c>
      <c r="E49" s="6" t="s">
        <v>137</v>
      </c>
      <c r="F49" s="11">
        <v>46</v>
      </c>
    </row>
  </sheetData>
  <autoFilter ref="A3:F49" xr:uid="{00000000-0009-0000-0000-000002000000}"/>
  <mergeCells count="1">
    <mergeCell ref="A1:F1"/>
  </mergeCells>
  <pageMargins left="0.4" right="0.4" top="0.6" bottom="0.5" header="0.5" footer="0.5"/>
  <pageSetup paperSize="3" orientation="landscape" horizontalDpi="300" verticalDpi="300"/>
  <headerFooter>
    <oddHeader>&amp;LMXenes</oddHeader>
    <oddFooter>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1:AA50"/>
  <sheetViews>
    <sheetView showGridLines="0" zoomScaleNormal="100" workbookViewId="0">
      <pane xSplit="3" ySplit="4" topLeftCell="D5" activePane="bottomRight" state="frozen"/>
      <selection pane="bottomRight"/>
      <selection pane="bottomLeft" activeCell="A5" sqref="A5"/>
      <selection pane="topRight" activeCell="D1" sqref="D1"/>
    </sheetView>
  </sheetViews>
  <sheetFormatPr defaultColWidth="8.7109375" defaultRowHeight="15"/>
  <cols>
    <col min="1" max="1" width="20" customWidth="1"/>
    <col min="2" max="2" width="8" customWidth="1"/>
    <col min="3" max="3" width="20" customWidth="1"/>
    <col min="4" max="27" width="7" customWidth="1"/>
  </cols>
  <sheetData>
    <row r="1" spans="1:27">
      <c r="A1" s="23" t="s">
        <v>138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>
      <c r="A2" s="25" t="s">
        <v>139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>
      <c r="A3" s="13" t="s">
        <v>14</v>
      </c>
      <c r="D3" s="14">
        <f>Metals!E4</f>
        <v>2.4919150075795118</v>
      </c>
      <c r="E3" s="14">
        <f>Metals!E5</f>
        <v>2.5064106965938362</v>
      </c>
      <c r="F3" s="14">
        <f>Metals!E6</f>
        <v>2.5561203033112503</v>
      </c>
      <c r="G3" s="14">
        <f>Metals!E7</f>
        <v>2.6894099315649145</v>
      </c>
      <c r="H3" s="14">
        <f>Metals!E8</f>
        <v>2.7148657756876302</v>
      </c>
      <c r="I3" s="14">
        <f>Metals!E9</f>
        <v>2.7511403535625001</v>
      </c>
      <c r="J3" s="14">
        <f>Metals!E10</f>
        <v>2.7746162986978939</v>
      </c>
      <c r="K3" s="14">
        <f>Metals!E11</f>
        <v>2.8634996210930423</v>
      </c>
      <c r="L3" s="14">
        <f>Metals!E12</f>
        <v>2.8837228750349779</v>
      </c>
      <c r="M3" s="14">
        <f>Metals!E13</f>
        <v>2.8887433331814023</v>
      </c>
      <c r="N3" s="14">
        <f>Metals!E14</f>
        <v>3.5003199882296472</v>
      </c>
      <c r="O3" s="14">
        <f>Metals!E15</f>
        <v>2.5257854223983478</v>
      </c>
      <c r="P3" s="14">
        <f>Metals!E16</f>
        <v>2.5286138495230936</v>
      </c>
      <c r="Q3" s="14">
        <f>Metals!E17</f>
        <v>2.4777021612776622</v>
      </c>
      <c r="R3" s="14">
        <f>Metals!E18</f>
        <v>2.5137646071181763</v>
      </c>
      <c r="S3" s="14">
        <f>Metals!E19</f>
        <v>2.5378062376785189</v>
      </c>
      <c r="T3" s="14">
        <f>Metals!E20</f>
        <v>2.578111324206152</v>
      </c>
      <c r="U3" s="14">
        <f>Metals!E21</f>
        <v>2.5526554800834362</v>
      </c>
      <c r="V3" s="14">
        <f>Metals!E22</f>
        <v>2.5314422766478399</v>
      </c>
      <c r="W3" s="14">
        <f>Metals!E23</f>
        <v>2.5554839072081825</v>
      </c>
      <c r="X3" s="14">
        <f>Metals!E24</f>
        <v>2.6509433226683665</v>
      </c>
      <c r="Y3" s="14">
        <f>Metals!E25</f>
        <v>2.7407458838790579</v>
      </c>
      <c r="Z3" s="14">
        <f>Metals!E26</f>
        <v>2.7619590873146547</v>
      </c>
      <c r="AA3" s="14">
        <f>Metals!E27</f>
        <v>2.5809397513308983</v>
      </c>
    </row>
    <row r="4" spans="1:27" ht="69.75" customHeight="1">
      <c r="A4" s="15" t="s">
        <v>140</v>
      </c>
      <c r="B4" s="15" t="s">
        <v>68</v>
      </c>
      <c r="C4" s="15" t="s">
        <v>66</v>
      </c>
      <c r="D4" s="16" t="str">
        <f>Metals!A4</f>
        <v>Ni</v>
      </c>
      <c r="E4" s="16" t="str">
        <f>Metals!A5</f>
        <v>Co</v>
      </c>
      <c r="F4" s="16" t="str">
        <f>Metals!A6</f>
        <v>Cu</v>
      </c>
      <c r="G4" s="16" t="str">
        <f>Metals!A7</f>
        <v>Rh</v>
      </c>
      <c r="H4" s="16" t="str">
        <f>Metals!A8</f>
        <v>Ir</v>
      </c>
      <c r="I4" s="16" t="str">
        <f>Metals!A9</f>
        <v>Pd</v>
      </c>
      <c r="J4" s="16" t="str">
        <f>Metals!A10</f>
        <v>Pt</v>
      </c>
      <c r="K4" s="16" t="str">
        <f>Metals!A11</f>
        <v>Al</v>
      </c>
      <c r="L4" s="16" t="str">
        <f>Metals!A12</f>
        <v>Au</v>
      </c>
      <c r="M4" s="16" t="str">
        <f>Metals!A13</f>
        <v>Ag</v>
      </c>
      <c r="N4" s="16" t="str">
        <f>Metals!A14</f>
        <v>Pb</v>
      </c>
      <c r="O4" s="17" t="str">
        <f>Metals!A15</f>
        <v>Ni3Al</v>
      </c>
      <c r="P4" s="17" t="str">
        <f>Metals!A16</f>
        <v>Ni3Ga</v>
      </c>
      <c r="Q4" s="17" t="str">
        <f>Metals!A17</f>
        <v>Ni3Si</v>
      </c>
      <c r="R4" s="17" t="str">
        <f>Metals!A18</f>
        <v>Ni3Fe</v>
      </c>
      <c r="S4" s="17" t="str">
        <f>Metals!A19</f>
        <v>Ni3Mn</v>
      </c>
      <c r="T4" s="17" t="str">
        <f>Metals!A20</f>
        <v>Ni3Pt</v>
      </c>
      <c r="U4" s="17" t="str">
        <f>Metals!A21</f>
        <v>Ni3Ti</v>
      </c>
      <c r="V4" s="17" t="str">
        <f>Metals!A22</f>
        <v>Ni3(Al,Ti)</v>
      </c>
      <c r="W4" s="17" t="str">
        <f>Metals!A23</f>
        <v>Co3Ti</v>
      </c>
      <c r="X4" s="17" t="str">
        <f>Metals!A24</f>
        <v>Cu3Au</v>
      </c>
      <c r="Y4" s="17" t="str">
        <f>Metals!A25</f>
        <v>Pt3Al</v>
      </c>
      <c r="Z4" s="17" t="str">
        <f>Metals!A26</f>
        <v>Pt3Ti</v>
      </c>
      <c r="AA4" s="17" t="str">
        <f>Metals!A27</f>
        <v>Fe3Al</v>
      </c>
    </row>
    <row r="5" spans="1:27">
      <c r="A5" s="8" t="str">
        <f>MXenes!A4</f>
        <v>Ti2C</v>
      </c>
      <c r="B5" s="18">
        <f>MXenes!D4</f>
        <v>3.0390000000000001</v>
      </c>
      <c r="C5" s="19" t="str">
        <f>MXenes!B4</f>
        <v>single M2C</v>
      </c>
      <c r="D5" s="20">
        <f>100*($B5-D$3)/D$3</f>
        <v>21.954400160376739</v>
      </c>
      <c r="E5" s="20">
        <f>100*($B5-E$3)/E$3</f>
        <v>21.24908356519315</v>
      </c>
      <c r="F5" s="20">
        <f>100*($B5-F$3)/F$3</f>
        <v>18.891117764027683</v>
      </c>
      <c r="G5" s="20">
        <f>100*($B5-G$3)/G$3</f>
        <v>12.998764685592803</v>
      </c>
      <c r="H5" s="20">
        <f>100*($B5-H$3)/H$3</f>
        <v>11.939235715263756</v>
      </c>
      <c r="I5" s="20">
        <f>100*($B5-I$3)/I$3</f>
        <v>10.463284654479571</v>
      </c>
      <c r="J5" s="20">
        <f>100*($B5-J$3)/J$3</f>
        <v>9.5286581220682454</v>
      </c>
      <c r="K5" s="20">
        <f>100*($B5-K$3)/K$3</f>
        <v>6.1288773224969582</v>
      </c>
      <c r="L5" s="20">
        <f>100*($B5-L$3)/L$3</f>
        <v>5.3846063472079919</v>
      </c>
      <c r="M5" s="20">
        <f>100*($B5-M$3)/M$3</f>
        <v>5.2014543865037206</v>
      </c>
      <c r="N5" s="20">
        <f>100*($B5-N$3)/N$3</f>
        <v>-13.179366165976395</v>
      </c>
      <c r="O5" s="20">
        <f>100*($B5-O$3)/O$3</f>
        <v>20.319009407946133</v>
      </c>
      <c r="P5" s="20">
        <f>100*($B5-P$3)/P$3</f>
        <v>20.18442438623704</v>
      </c>
      <c r="Q5" s="20">
        <f>100*($B5-Q$3)/Q$3</f>
        <v>22.65396735307753</v>
      </c>
      <c r="R5" s="20">
        <f>100*($B5-R$3)/R$3</f>
        <v>20.894374572484846</v>
      </c>
      <c r="S5" s="20">
        <f>100*($B5-S$3)/S$3</f>
        <v>19.749094902530967</v>
      </c>
      <c r="T5" s="20">
        <f>100*($B5-T$3)/T$3</f>
        <v>17.876988920785426</v>
      </c>
      <c r="U5" s="20">
        <f>100*($B5-U$3)/U$3</f>
        <v>19.052493519441459</v>
      </c>
      <c r="V5" s="20">
        <f>100*($B5-V$3)/V$3</f>
        <v>20.05014011317979</v>
      </c>
      <c r="W5" s="20">
        <f>100*($B5-W$3)/W$3</f>
        <v>18.920725402651808</v>
      </c>
      <c r="X5" s="20">
        <f>100*($B5-X$3)/X$3</f>
        <v>14.638437344674214</v>
      </c>
      <c r="Y5" s="20">
        <f>100*($B5-Y$3)/Y$3</f>
        <v>10.882224356342531</v>
      </c>
      <c r="Z5" s="20">
        <f>100*($B5-Z$3)/Z$3</f>
        <v>10.030594368966616</v>
      </c>
      <c r="AA5" s="20">
        <f>100*($B5-AA$3)/AA$3</f>
        <v>17.747808658954423</v>
      </c>
    </row>
    <row r="6" spans="1:27">
      <c r="A6" s="8" t="str">
        <f>MXenes!A5</f>
        <v>V2C</v>
      </c>
      <c r="B6" s="18">
        <f>MXenes!D5</f>
        <v>2.8809999999999998</v>
      </c>
      <c r="C6" s="19" t="str">
        <f>MXenes!B5</f>
        <v>single M2C</v>
      </c>
      <c r="D6" s="20">
        <f>100*($B6-D$3)/D$3</f>
        <v>15.613894985865528</v>
      </c>
      <c r="E6" s="20">
        <f>100*($B6-E$3)/E$3</f>
        <v>14.945248355156769</v>
      </c>
      <c r="F6" s="20">
        <f>100*($B6-F$3)/F$3</f>
        <v>12.709875050399379</v>
      </c>
      <c r="G6" s="20">
        <f>100*($B6-G$3)/G$3</f>
        <v>7.1238700425116228</v>
      </c>
      <c r="H6" s="20">
        <f>100*($B6-H$3)/H$3</f>
        <v>6.1194268166090282</v>
      </c>
      <c r="I6" s="20">
        <f>100*($B6-I$3)/I$3</f>
        <v>4.7202116122262598</v>
      </c>
      <c r="J6" s="20">
        <f>100*($B6-J$3)/J$3</f>
        <v>3.8341770482654085</v>
      </c>
      <c r="K6" s="20">
        <f>100*($B6-K$3)/K$3</f>
        <v>0.61115352619733432</v>
      </c>
      <c r="L6" s="20">
        <f>100*($B6-L$3)/L$3</f>
        <v>-9.4422215759727535E-2</v>
      </c>
      <c r="M6" s="20">
        <f>100*($B6-M$3)/M$3</f>
        <v>-0.26805196198842324</v>
      </c>
      <c r="N6" s="20">
        <f>100*($B6-N$3)/N$3</f>
        <v>-17.693239198479112</v>
      </c>
      <c r="O6" s="20">
        <f>100*($B6-O$3)/O$3</f>
        <v>14.063529484795254</v>
      </c>
      <c r="P6" s="20">
        <f>100*($B6-P$3)/P$3</f>
        <v>13.935941644208251</v>
      </c>
      <c r="Q6" s="20">
        <f>100*($B6-Q$3)/Q$3</f>
        <v>16.277091130048149</v>
      </c>
      <c r="R6" s="20">
        <f>100*($B6-R$3)/R$3</f>
        <v>14.608980961937744</v>
      </c>
      <c r="S6" s="20">
        <f>100*($B6-S$3)/S$3</f>
        <v>13.523245282721838</v>
      </c>
      <c r="T6" s="20">
        <f>100*($B6-T$3)/T$3</f>
        <v>11.748471563271723</v>
      </c>
      <c r="U6" s="20">
        <f>100*($B6-U$3)/U$3</f>
        <v>12.862860753376371</v>
      </c>
      <c r="V6" s="20">
        <f>100*($B6-V$3)/V$3</f>
        <v>13.808638916114157</v>
      </c>
      <c r="W6" s="20">
        <f>100*($B6-W$3)/W$3</f>
        <v>12.737943364606721</v>
      </c>
      <c r="X6" s="20">
        <f>100*($B6-X$3)/X$3</f>
        <v>8.6782948305384586</v>
      </c>
      <c r="Y6" s="20">
        <f>100*($B6-Y$3)/Y$3</f>
        <v>5.1173703095172067</v>
      </c>
      <c r="Z6" s="20">
        <f>100*($B6-Z$3)/Z$3</f>
        <v>4.3100172349433299</v>
      </c>
      <c r="AA6" s="20">
        <f>100*($B6-AA$3)/AA$3</f>
        <v>11.626007484846216</v>
      </c>
    </row>
    <row r="7" spans="1:27">
      <c r="A7" s="8" t="str">
        <f>MXenes!A6</f>
        <v>Cr2C</v>
      </c>
      <c r="B7" s="18">
        <f>MXenes!D6</f>
        <v>2.8250000000000002</v>
      </c>
      <c r="C7" s="19" t="str">
        <f>MXenes!B6</f>
        <v>single M2C</v>
      </c>
      <c r="D7" s="20">
        <f>100*($B7-D$3)/D$3</f>
        <v>13.366627329076767</v>
      </c>
      <c r="E7" s="20">
        <f>100*($B7-E$3)/E$3</f>
        <v>12.710977647802121</v>
      </c>
      <c r="F7" s="20">
        <f>100*($B7-F$3)/F$3</f>
        <v>10.519054848100758</v>
      </c>
      <c r="G7" s="20">
        <f>100*($B7-G$3)/G$3</f>
        <v>5.0416289031917314</v>
      </c>
      <c r="H7" s="20">
        <f>100*($B7-H$3)/H$3</f>
        <v>4.0567097386048419</v>
      </c>
      <c r="I7" s="20">
        <f>100*($B7-I$3)/I$3</f>
        <v>2.6846920529466241</v>
      </c>
      <c r="J7" s="20">
        <f>100*($B7-J$3)/J$3</f>
        <v>1.8158799588163204</v>
      </c>
      <c r="K7" s="20">
        <f>100*($B7-K$3)/K$3</f>
        <v>-1.3444954142632737</v>
      </c>
      <c r="L7" s="20">
        <f>100*($B7-L$3)/L$3</f>
        <v>-2.0363563899761163</v>
      </c>
      <c r="M7" s="20">
        <f>100*($B7-M$3)/M$3</f>
        <v>-2.206611174112203</v>
      </c>
      <c r="N7" s="20">
        <f>100*($B7-N$3)/N$3</f>
        <v>-19.293092931518036</v>
      </c>
      <c r="O7" s="20">
        <f>100*($B7-O$3)/O$3</f>
        <v>11.846397360134203</v>
      </c>
      <c r="P7" s="20">
        <f>100*($B7-P$3)/P$3</f>
        <v>11.721289533109459</v>
      </c>
      <c r="Q7" s="20">
        <f>100*($B7-Q$3)/Q$3</f>
        <v>14.016932468721297</v>
      </c>
      <c r="R7" s="20">
        <f>100*($B7-R$3)/R$3</f>
        <v>12.381246517693221</v>
      </c>
      <c r="S7" s="20">
        <f>100*($B7-S$3)/S$3</f>
        <v>11.316615037726221</v>
      </c>
      <c r="T7" s="20">
        <f>100*($B7-T$3)/T$3</f>
        <v>9.5763388289630882</v>
      </c>
      <c r="U7" s="20">
        <f>100*($B7-U$3)/U$3</f>
        <v>10.669066861606488</v>
      </c>
      <c r="V7" s="20">
        <f>100*($B7-V$3)/V$3</f>
        <v>11.596461276647879</v>
      </c>
      <c r="W7" s="20">
        <f>100*($B7-W$3)/W$3</f>
        <v>10.546577578970508</v>
      </c>
      <c r="X7" s="20">
        <f>100*($B7-X$3)/X$3</f>
        <v>6.5658392559080818</v>
      </c>
      <c r="Y7" s="20">
        <f>100*($B7-Y$3)/Y$3</f>
        <v>3.0741309005158453</v>
      </c>
      <c r="Z7" s="20">
        <f>100*($B7-Z$3)/Z$3</f>
        <v>2.2824709089604123</v>
      </c>
      <c r="AA7" s="20">
        <f>100*($B7-AA$3)/AA$3</f>
        <v>9.456255169972442</v>
      </c>
    </row>
    <row r="8" spans="1:27">
      <c r="A8" s="8" t="str">
        <f>MXenes!A7</f>
        <v>Zr2C</v>
      </c>
      <c r="B8" s="18">
        <f>MXenes!D7</f>
        <v>3.28</v>
      </c>
      <c r="C8" s="19" t="str">
        <f>MXenes!B7</f>
        <v>single M2C</v>
      </c>
      <c r="D8" s="20">
        <f>100*($B8-D$3)/D$3</f>
        <v>31.625677040485574</v>
      </c>
      <c r="E8" s="20">
        <f>100*($B8-E$3)/E$3</f>
        <v>30.864427145058727</v>
      </c>
      <c r="F8" s="20">
        <f>100*($B8-F$3)/F$3</f>
        <v>28.319468991777146</v>
      </c>
      <c r="G8" s="20">
        <f>100*($B8-G$3)/G$3</f>
        <v>21.959838160165962</v>
      </c>
      <c r="H8" s="20">
        <f>100*($B8-H$3)/H$3</f>
        <v>20.81628599738897</v>
      </c>
      <c r="I8" s="20">
        <f>100*($B8-I$3)/I$3</f>
        <v>19.223288472093763</v>
      </c>
      <c r="J8" s="20">
        <f>100*($B8-J$3)/J$3</f>
        <v>18.214543810590264</v>
      </c>
      <c r="K8" s="20">
        <f>100*($B8-K$3)/K$3</f>
        <v>14.545152226979264</v>
      </c>
      <c r="L8" s="20">
        <f>100*($B8-L$3)/L$3</f>
        <v>13.74185877553214</v>
      </c>
      <c r="M8" s="20">
        <f>100*($B8-M$3)/M$3</f>
        <v>13.544182424393604</v>
      </c>
      <c r="N8" s="20">
        <f>100*($B8-N$3)/N$3</f>
        <v>-6.2942813505767043</v>
      </c>
      <c r="O8" s="20">
        <f>100*($B8-O$3)/O$3</f>
        <v>29.860595873005359</v>
      </c>
      <c r="P8" s="20">
        <f>100*($B8-P$3)/P$3</f>
        <v>29.71533793578725</v>
      </c>
      <c r="Q8" s="20">
        <f>100*($B8-Q$3)/Q$3</f>
        <v>32.380721592002061</v>
      </c>
      <c r="R8" s="20">
        <f>100*($B8-R$3)/R$3</f>
        <v>30.48158887718008</v>
      </c>
      <c r="S8" s="20">
        <f>100*($B8-S$3)/S$3</f>
        <v>29.245485778315739</v>
      </c>
      <c r="T8" s="20">
        <f>100*($B8-T$3)/T$3</f>
        <v>27.224917295220845</v>
      </c>
      <c r="U8" s="20">
        <f>100*($B8-U$3)/U$3</f>
        <v>28.493642232236901</v>
      </c>
      <c r="V8" s="20">
        <f>100*($B8-V$3)/V$3</f>
        <v>29.570404597311505</v>
      </c>
      <c r="W8" s="20">
        <f>100*($B8-W$3)/W$3</f>
        <v>28.351424587264855</v>
      </c>
      <c r="X8" s="20">
        <f>100*($B8-X$3)/X$3</f>
        <v>23.729540799779986</v>
      </c>
      <c r="Y8" s="20">
        <f>100*($B8-Y$3)/Y$3</f>
        <v>19.675451098652012</v>
      </c>
      <c r="Z8" s="20">
        <f>100*($B8-Z$3)/Z$3</f>
        <v>18.756284807571721</v>
      </c>
      <c r="AA8" s="20">
        <f>100*($B8-AA$3)/AA$3</f>
        <v>27.08549272832197</v>
      </c>
    </row>
    <row r="9" spans="1:27">
      <c r="A9" s="8" t="str">
        <f>MXenes!A8</f>
        <v>Nb2C</v>
      </c>
      <c r="B9" s="18">
        <f>MXenes!D8</f>
        <v>3.1040000000000001</v>
      </c>
      <c r="C9" s="19" t="str">
        <f>MXenes!B8</f>
        <v>single M2C</v>
      </c>
      <c r="D9" s="20">
        <f>100*($B9-D$3)/D$3</f>
        <v>24.562835833435141</v>
      </c>
      <c r="E9" s="20">
        <f>100*($B9-E$3)/E$3</f>
        <v>23.842433493372663</v>
      </c>
      <c r="F9" s="20">
        <f>100*($B9-F$3)/F$3</f>
        <v>21.434034070267167</v>
      </c>
      <c r="G9" s="20">
        <f>100*($B9-G$3)/G$3</f>
        <v>15.415651722303407</v>
      </c>
      <c r="H9" s="20">
        <f>100*($B9-H$3)/H$3</f>
        <v>14.333460895090059</v>
      </c>
      <c r="I9" s="20">
        <f>100*($B9-I$3)/I$3</f>
        <v>12.825941285786303</v>
      </c>
      <c r="J9" s="20">
        <f>100*($B9-J$3)/J$3</f>
        <v>11.87132438660738</v>
      </c>
      <c r="K9" s="20">
        <f>100*($B9-K$3)/K$3</f>
        <v>8.398826985531608</v>
      </c>
      <c r="L9" s="20">
        <f>100*($B9-L$3)/L$3</f>
        <v>7.6386370851377441</v>
      </c>
      <c r="M9" s="20">
        <f>100*($B9-M$3)/M$3</f>
        <v>7.4515677577188359</v>
      </c>
      <c r="N9" s="20">
        <f>100*($B9-N$3)/N$3</f>
        <v>-11.322393082984776</v>
      </c>
      <c r="O9" s="20">
        <f>100*($B9-O$3)/O$3</f>
        <v>22.892466338356304</v>
      </c>
      <c r="P9" s="20">
        <f>100*($B9-P$3)/P$3</f>
        <v>22.755002729476722</v>
      </c>
      <c r="Q9" s="20">
        <f>100*($B9-Q$3)/Q$3</f>
        <v>25.277365799260494</v>
      </c>
      <c r="R9" s="20">
        <f>100*($B9-R$3)/R$3</f>
        <v>23.480137766697254</v>
      </c>
      <c r="S9" s="20">
        <f>100*($B9-S$3)/S$3</f>
        <v>22.310362151186609</v>
      </c>
      <c r="T9" s="20">
        <f>100*($B9-T$3)/T$3</f>
        <v>20.398214415965104</v>
      </c>
      <c r="U9" s="20">
        <f>100*($B9-U$3)/U$3</f>
        <v>21.598861429531514</v>
      </c>
      <c r="V9" s="20">
        <f>100*($B9-V$3)/V$3</f>
        <v>22.617846301846019</v>
      </c>
      <c r="W9" s="20">
        <f>100*($B9-W$3)/W$3</f>
        <v>21.46427497526529</v>
      </c>
      <c r="X9" s="20">
        <f>100*($B9-X$3)/X$3</f>
        <v>17.090394708084489</v>
      </c>
      <c r="Y9" s="20">
        <f>100*($B9-Y$3)/Y$3</f>
        <v>13.253841527504839</v>
      </c>
      <c r="Z9" s="20">
        <f>100*($B9-Z$3)/Z$3</f>
        <v>12.383996354482516</v>
      </c>
      <c r="AA9" s="20">
        <f>100*($B9-AA$3)/AA$3</f>
        <v>20.266271167290071</v>
      </c>
    </row>
    <row r="10" spans="1:27">
      <c r="A10" s="8" t="str">
        <f>MXenes!A9</f>
        <v>Mo2C</v>
      </c>
      <c r="B10" s="18">
        <f>MXenes!D9</f>
        <v>2.8479999999999999</v>
      </c>
      <c r="C10" s="19" t="str">
        <f>MXenes!B9</f>
        <v>single M2C</v>
      </c>
      <c r="D10" s="20">
        <f>100*($B10-D$3)/D$3</f>
        <v>14.289612259543572</v>
      </c>
      <c r="E10" s="20">
        <f>100*($B10-E$3)/E$3</f>
        <v>13.62862454546563</v>
      </c>
      <c r="F10" s="20">
        <f>100*($B10-F$3)/F$3</f>
        <v>11.418856002616256</v>
      </c>
      <c r="G10" s="20">
        <f>100*($B10-G$3)/G$3</f>
        <v>5.8968350854123956</v>
      </c>
      <c r="H10" s="20">
        <f>100*($B10-H$3)/H$3</f>
        <v>4.9038971099279847</v>
      </c>
      <c r="I10" s="20">
        <f>100*($B10-I$3)/I$3</f>
        <v>3.5207090147936118</v>
      </c>
      <c r="J10" s="20">
        <f>100*($B10-J$3)/J$3</f>
        <v>2.6448234062686189</v>
      </c>
      <c r="K10" s="20">
        <f>100*($B10-K$3)/K$3</f>
        <v>-0.54128245657410057</v>
      </c>
      <c r="L10" s="20">
        <f>100*($B10-L$3)/L$3</f>
        <v>-1.2387762827086761</v>
      </c>
      <c r="M10" s="20">
        <f>100*($B10-M$3)/M$3</f>
        <v>-1.4104172119899414</v>
      </c>
      <c r="N10" s="20">
        <f>100*($B10-N$3)/N$3</f>
        <v>-18.636010148305623</v>
      </c>
      <c r="O10" s="20">
        <f>100*($B10-O$3)/O$3</f>
        <v>12.757005197048557</v>
      </c>
      <c r="P10" s="20">
        <f>100*($B10-P$3)/P$3</f>
        <v>12.630878793025028</v>
      </c>
      <c r="Q10" s="20">
        <f>100*($B10-Q$3)/Q$3</f>
        <v>14.945211918909104</v>
      </c>
      <c r="R10" s="20">
        <f>100*($B10-R$3)/R$3</f>
        <v>13.296208878722215</v>
      </c>
      <c r="S10" s="20">
        <f>100*($B10-S$3)/S$3</f>
        <v>12.222909602635129</v>
      </c>
      <c r="T10" s="20">
        <f>100*($B10-T$3)/T$3</f>
        <v>10.468464773411272</v>
      </c>
      <c r="U10" s="20">
        <f>100*($B10-U$3)/U$3</f>
        <v>11.570089352869113</v>
      </c>
      <c r="V10" s="20">
        <f>100*($B10-V$3)/V$3</f>
        <v>12.50503423571438</v>
      </c>
      <c r="W10" s="20">
        <f>100*($B10-W$3)/W$3</f>
        <v>11.446602812356804</v>
      </c>
      <c r="X10" s="20">
        <f>100*($B10-X$3)/X$3</f>
        <v>7.4334549383455517</v>
      </c>
      <c r="Y10" s="20">
        <f>100*($B10-Y$3)/Y$3</f>
        <v>3.9133185149271132</v>
      </c>
      <c r="Z10" s="20">
        <f>100*($B10-Z$3)/Z$3</f>
        <v>3.1152131499891054</v>
      </c>
      <c r="AA10" s="20">
        <f>100*($B10-AA$3)/AA$3</f>
        <v>10.347403442152736</v>
      </c>
    </row>
    <row r="11" spans="1:27">
      <c r="A11" s="8" t="str">
        <f>MXenes!A10</f>
        <v>Hf2C</v>
      </c>
      <c r="B11" s="18">
        <f>MXenes!D10</f>
        <v>3.1949999999999998</v>
      </c>
      <c r="C11" s="19" t="str">
        <f>MXenes!B10</f>
        <v>single M2C</v>
      </c>
      <c r="D11" s="20">
        <f>100*($B11-D$3)/D$3</f>
        <v>28.214645775716896</v>
      </c>
      <c r="E11" s="20">
        <f>100*($B11-E$3)/E$3</f>
        <v>27.473123392823979</v>
      </c>
      <c r="F11" s="20">
        <f>100*($B11-F$3)/F$3</f>
        <v>24.994116899002439</v>
      </c>
      <c r="G11" s="20">
        <f>100*($B11-G$3)/G$3</f>
        <v>18.799293573698247</v>
      </c>
      <c r="H11" s="20">
        <f>100*($B11-H$3)/H$3</f>
        <v>17.685376146846878</v>
      </c>
      <c r="I11" s="20">
        <f>100*($B11-I$3)/I$3</f>
        <v>16.133660569615724</v>
      </c>
      <c r="J11" s="20">
        <f>100*($B11-J$3)/J$3</f>
        <v>15.15105715696216</v>
      </c>
      <c r="K11" s="20">
        <f>100*($B11-K$3)/K$3</f>
        <v>11.576756513780108</v>
      </c>
      <c r="L11" s="20">
        <f>100*($B11-L$3)/L$3</f>
        <v>10.794280118239389</v>
      </c>
      <c r="M11" s="20">
        <f>100*($B11-M$3)/M$3</f>
        <v>10.601726477419993</v>
      </c>
      <c r="N11" s="20">
        <f>100*($B11-N$3)/N$3</f>
        <v>-8.7226307667965148</v>
      </c>
      <c r="O11" s="20">
        <f>100*($B11-O$3)/O$3</f>
        <v>26.495306040930522</v>
      </c>
      <c r="P11" s="20">
        <f>100*($B11-P$3)/P$3</f>
        <v>26.353812410012278</v>
      </c>
      <c r="Q11" s="20">
        <f>100*($B11-Q$3)/Q$3</f>
        <v>28.950123623916642</v>
      </c>
      <c r="R11" s="20">
        <f>100*($B11-R$3)/R$3</f>
        <v>27.10020623859462</v>
      </c>
      <c r="S11" s="20">
        <f>100*($B11-S$3)/S$3</f>
        <v>25.896136299304505</v>
      </c>
      <c r="T11" s="20">
        <f>100*($B11-T$3)/T$3</f>
        <v>23.92793010921665</v>
      </c>
      <c r="U11" s="20">
        <f>100*($B11-U$3)/U$3</f>
        <v>25.163776503657591</v>
      </c>
      <c r="V11" s="20">
        <f>100*($B11-V$3)/V$3</f>
        <v>26.212634965978737</v>
      </c>
      <c r="W11" s="20">
        <f>100*($B11-W$3)/W$3</f>
        <v>25.025244376924153</v>
      </c>
      <c r="X11" s="20">
        <f>100*($B11-X$3)/X$3</f>
        <v>20.523135016858863</v>
      </c>
      <c r="Y11" s="20">
        <f>100*($B11-Y$3)/Y$3</f>
        <v>16.574105567132069</v>
      </c>
      <c r="Z11" s="20">
        <f>100*($B11-Z$3)/Z$3</f>
        <v>15.678759134204773</v>
      </c>
      <c r="AA11" s="20">
        <f>100*($B11-AA$3)/AA$3</f>
        <v>23.792118678959966</v>
      </c>
    </row>
    <row r="12" spans="1:27">
      <c r="A12" s="8" t="str">
        <f>MXenes!A11</f>
        <v>Ta2C</v>
      </c>
      <c r="B12" s="18">
        <f>MXenes!D11</f>
        <v>3.0670000000000002</v>
      </c>
      <c r="C12" s="19" t="str">
        <f>MXenes!B11</f>
        <v>single M2C</v>
      </c>
      <c r="D12" s="20">
        <f>100*($B12-D$3)/D$3</f>
        <v>23.078033988771132</v>
      </c>
      <c r="E12" s="20">
        <f>100*($B12-E$3)/E$3</f>
        <v>22.36621891887048</v>
      </c>
      <c r="F12" s="20">
        <f>100*($B12-F$3)/F$3</f>
        <v>19.986527865176999</v>
      </c>
      <c r="G12" s="20">
        <f>100*($B12-G$3)/G$3</f>
        <v>14.039885255252758</v>
      </c>
      <c r="H12" s="20">
        <f>100*($B12-H$3)/H$3</f>
        <v>12.970594254265857</v>
      </c>
      <c r="I12" s="20">
        <f>100*($B12-I$3)/I$3</f>
        <v>11.481044434119397</v>
      </c>
      <c r="J12" s="20">
        <f>100*($B12-J$3)/J$3</f>
        <v>10.537806666792797</v>
      </c>
      <c r="K12" s="20">
        <f>100*($B12-K$3)/K$3</f>
        <v>7.1067017927272698</v>
      </c>
      <c r="L12" s="20">
        <f>100*($B12-L$3)/L$3</f>
        <v>6.3555734343161934</v>
      </c>
      <c r="M12" s="20">
        <f>100*($B12-M$3)/M$3</f>
        <v>6.1707339925656184</v>
      </c>
      <c r="N12" s="20">
        <f>100*($B12-N$3)/N$3</f>
        <v>-12.379439299456926</v>
      </c>
      <c r="O12" s="20">
        <f>100*($B12-O$3)/O$3</f>
        <v>21.427575470276668</v>
      </c>
      <c r="P12" s="20">
        <f>100*($B12-P$3)/P$3</f>
        <v>21.291750441786444</v>
      </c>
      <c r="Q12" s="20">
        <f>100*($B12-Q$3)/Q$3</f>
        <v>23.784046683740964</v>
      </c>
      <c r="R12" s="20">
        <f>100*($B12-R$3)/R$3</f>
        <v>22.008241794607116</v>
      </c>
      <c r="S12" s="20">
        <f>100*($B12-S$3)/S$3</f>
        <v>20.852410025028785</v>
      </c>
      <c r="T12" s="20">
        <f>100*($B12-T$3)/T$3</f>
        <v>18.963055287939749</v>
      </c>
      <c r="U12" s="20">
        <f>100*($B12-U$3)/U$3</f>
        <v>20.149390465326409</v>
      </c>
      <c r="V12" s="20">
        <f>100*($B12-V$3)/V$3</f>
        <v>21.156228932912935</v>
      </c>
      <c r="W12" s="20">
        <f>100*($B12-W$3)/W$3</f>
        <v>20.016408295469926</v>
      </c>
      <c r="X12" s="20">
        <f>100*($B12-X$3)/X$3</f>
        <v>15.69466513198941</v>
      </c>
      <c r="Y12" s="20">
        <f>100*($B12-Y$3)/Y$3</f>
        <v>11.90384406084322</v>
      </c>
      <c r="Z12" s="20">
        <f>100*($B12-Z$3)/Z$3</f>
        <v>11.044367531958082</v>
      </c>
      <c r="AA12" s="20">
        <f>100*($B12-AA$3)/AA$3</f>
        <v>18.832684816391318</v>
      </c>
    </row>
    <row r="13" spans="1:27">
      <c r="A13" s="8" t="str">
        <f>MXenes!A12</f>
        <v>W2C</v>
      </c>
      <c r="B13" s="18">
        <f>MXenes!D12</f>
        <v>2.847</v>
      </c>
      <c r="C13" s="19" t="str">
        <f>MXenes!B12</f>
        <v>single M2C</v>
      </c>
      <c r="D13" s="20">
        <f>100*($B13-D$3)/D$3</f>
        <v>14.249482479958065</v>
      </c>
      <c r="E13" s="20">
        <f>100*($B13-E$3)/E$3</f>
        <v>13.588726854262873</v>
      </c>
      <c r="F13" s="20">
        <f>100*($B13-F$3)/F$3</f>
        <v>11.379734213289501</v>
      </c>
      <c r="G13" s="20">
        <f>100*($B13-G$3)/G$3</f>
        <v>5.8596522079245448</v>
      </c>
      <c r="H13" s="20">
        <f>100*($B13-H$3)/H$3</f>
        <v>4.8670628763921995</v>
      </c>
      <c r="I13" s="20">
        <f>100*($B13-I$3)/I$3</f>
        <v>3.4843604512350503</v>
      </c>
      <c r="J13" s="20">
        <f>100*($B13-J$3)/J$3</f>
        <v>2.6087823868141746</v>
      </c>
      <c r="K13" s="20">
        <f>100*($B13-K$3)/K$3</f>
        <v>-0.57620475908232216</v>
      </c>
      <c r="L13" s="20">
        <f>100*($B13-L$3)/L$3</f>
        <v>-1.2734536786768225</v>
      </c>
      <c r="M13" s="20">
        <f>100*($B13-M$3)/M$3</f>
        <v>-1.4450343407778625</v>
      </c>
      <c r="N13" s="20">
        <f>100*($B13-N$3)/N$3</f>
        <v>-18.664578964967031</v>
      </c>
      <c r="O13" s="20">
        <f>100*($B13-O$3)/O$3</f>
        <v>12.717413551965326</v>
      </c>
      <c r="P13" s="20">
        <f>100*($B13-P$3)/P$3</f>
        <v>12.591331433898267</v>
      </c>
      <c r="Q13" s="20">
        <f>100*($B13-Q$3)/Q$3</f>
        <v>14.904851942813988</v>
      </c>
      <c r="R13" s="20">
        <f>100*($B13-R$3)/R$3</f>
        <v>13.256427906503568</v>
      </c>
      <c r="S13" s="20">
        <f>100*($B13-S$3)/S$3</f>
        <v>12.183505491117355</v>
      </c>
      <c r="T13" s="20">
        <f>100*($B13-T$3)/T$3</f>
        <v>10.429676688870051</v>
      </c>
      <c r="U13" s="20">
        <f>100*($B13-U$3)/U$3</f>
        <v>11.530914461944656</v>
      </c>
      <c r="V13" s="20">
        <f>100*($B13-V$3)/V$3</f>
        <v>12.465531063581059</v>
      </c>
      <c r="W13" s="20">
        <f>100*($B13-W$3)/W$3</f>
        <v>11.407471280470446</v>
      </c>
      <c r="X13" s="20">
        <f>100*($B13-X$3)/X$3</f>
        <v>7.3957325173700124</v>
      </c>
      <c r="Y13" s="20">
        <f>100*($B13-Y$3)/Y$3</f>
        <v>3.8768320969092356</v>
      </c>
      <c r="Z13" s="20">
        <f>100*($B13-Z$3)/Z$3</f>
        <v>3.0790069655965566</v>
      </c>
      <c r="AA13" s="20">
        <f>100*($B13-AA$3)/AA$3</f>
        <v>10.308657865101422</v>
      </c>
    </row>
    <row r="14" spans="1:27">
      <c r="A14" s="8" t="str">
        <f>MXenes!A13</f>
        <v>Ti3C2</v>
      </c>
      <c r="B14" s="18">
        <f>MXenes!D13</f>
        <v>3.1040000000000001</v>
      </c>
      <c r="C14" s="19" t="str">
        <f>MXenes!B13</f>
        <v>single M3C2</v>
      </c>
      <c r="D14" s="20">
        <f>100*($B14-D$3)/D$3</f>
        <v>24.562835833435141</v>
      </c>
      <c r="E14" s="20">
        <f>100*($B14-E$3)/E$3</f>
        <v>23.842433493372663</v>
      </c>
      <c r="F14" s="20">
        <f>100*($B14-F$3)/F$3</f>
        <v>21.434034070267167</v>
      </c>
      <c r="G14" s="20">
        <f>100*($B14-G$3)/G$3</f>
        <v>15.415651722303407</v>
      </c>
      <c r="H14" s="20">
        <f>100*($B14-H$3)/H$3</f>
        <v>14.333460895090059</v>
      </c>
      <c r="I14" s="20">
        <f>100*($B14-I$3)/I$3</f>
        <v>12.825941285786303</v>
      </c>
      <c r="J14" s="20">
        <f>100*($B14-J$3)/J$3</f>
        <v>11.87132438660738</v>
      </c>
      <c r="K14" s="20">
        <f>100*($B14-K$3)/K$3</f>
        <v>8.398826985531608</v>
      </c>
      <c r="L14" s="20">
        <f>100*($B14-L$3)/L$3</f>
        <v>7.6386370851377441</v>
      </c>
      <c r="M14" s="20">
        <f>100*($B14-M$3)/M$3</f>
        <v>7.4515677577188359</v>
      </c>
      <c r="N14" s="20">
        <f>100*($B14-N$3)/N$3</f>
        <v>-11.322393082984776</v>
      </c>
      <c r="O14" s="20">
        <f>100*($B14-O$3)/O$3</f>
        <v>22.892466338356304</v>
      </c>
      <c r="P14" s="20">
        <f>100*($B14-P$3)/P$3</f>
        <v>22.755002729476722</v>
      </c>
      <c r="Q14" s="20">
        <f>100*($B14-Q$3)/Q$3</f>
        <v>25.277365799260494</v>
      </c>
      <c r="R14" s="20">
        <f>100*($B14-R$3)/R$3</f>
        <v>23.480137766697254</v>
      </c>
      <c r="S14" s="20">
        <f>100*($B14-S$3)/S$3</f>
        <v>22.310362151186609</v>
      </c>
      <c r="T14" s="20">
        <f>100*($B14-T$3)/T$3</f>
        <v>20.398214415965104</v>
      </c>
      <c r="U14" s="20">
        <f>100*($B14-U$3)/U$3</f>
        <v>21.598861429531514</v>
      </c>
      <c r="V14" s="20">
        <f>100*($B14-V$3)/V$3</f>
        <v>22.617846301846019</v>
      </c>
      <c r="W14" s="20">
        <f>100*($B14-W$3)/W$3</f>
        <v>21.46427497526529</v>
      </c>
      <c r="X14" s="20">
        <f>100*($B14-X$3)/X$3</f>
        <v>17.090394708084489</v>
      </c>
      <c r="Y14" s="20">
        <f>100*($B14-Y$3)/Y$3</f>
        <v>13.253841527504839</v>
      </c>
      <c r="Z14" s="20">
        <f>100*($B14-Z$3)/Z$3</f>
        <v>12.383996354482516</v>
      </c>
      <c r="AA14" s="20">
        <f>100*($B14-AA$3)/AA$3</f>
        <v>20.266271167290071</v>
      </c>
    </row>
    <row r="15" spans="1:27">
      <c r="A15" s="8" t="str">
        <f>MXenes!A14</f>
        <v>V3C2</v>
      </c>
      <c r="B15" s="18">
        <f>MXenes!D14</f>
        <v>2.96</v>
      </c>
      <c r="C15" s="19" t="str">
        <f>MXenes!B14</f>
        <v>single M3C2</v>
      </c>
      <c r="D15" s="20">
        <f>100*($B15-D$3)/D$3</f>
        <v>18.784147573121135</v>
      </c>
      <c r="E15" s="20">
        <f>100*($B15-E$3)/E$3</f>
        <v>18.097165960174959</v>
      </c>
      <c r="F15" s="20">
        <f>100*($B15-F$3)/F$3</f>
        <v>15.800496407213529</v>
      </c>
      <c r="G15" s="20">
        <f>100*($B15-G$3)/G$3</f>
        <v>10.061317364052213</v>
      </c>
      <c r="H15" s="20">
        <f>100*($B15-H$3)/H$3</f>
        <v>9.029331265936392</v>
      </c>
      <c r="I15" s="20">
        <f>100*($B15-I$3)/I$3</f>
        <v>7.5917481333529144</v>
      </c>
      <c r="J15" s="20">
        <f>100*($B15-J$3)/J$3</f>
        <v>6.6814175851668267</v>
      </c>
      <c r="K15" s="20">
        <f>100*($B15-K$3)/K$3</f>
        <v>3.3700154243471463</v>
      </c>
      <c r="L15" s="20">
        <f>100*($B15-L$3)/L$3</f>
        <v>2.6450920657241324</v>
      </c>
      <c r="M15" s="20">
        <f>100*($B15-M$3)/M$3</f>
        <v>2.4667012122576488</v>
      </c>
      <c r="N15" s="20">
        <f>100*($B15-N$3)/N$3</f>
        <v>-15.436302682227755</v>
      </c>
      <c r="O15" s="20">
        <f>100*($B15-O$3)/O$3</f>
        <v>17.191269446370697</v>
      </c>
      <c r="P15" s="20">
        <f>100*($B15-P$3)/P$3</f>
        <v>17.060183015222645</v>
      </c>
      <c r="Q15" s="20">
        <f>100*($B15-Q$3)/Q$3</f>
        <v>19.465529241562841</v>
      </c>
      <c r="R15" s="20">
        <f>100*($B15-R$3)/R$3</f>
        <v>17.751677767211298</v>
      </c>
      <c r="S15" s="20">
        <f>100*($B15-S$3)/S$3</f>
        <v>16.636170092626404</v>
      </c>
      <c r="T15" s="20">
        <f>100*($B15-T$3)/T$3</f>
        <v>14.812730242028573</v>
      </c>
      <c r="U15" s="20">
        <f>100*($B15-U$3)/U$3</f>
        <v>15.957677136408915</v>
      </c>
      <c r="V15" s="20">
        <f>100*($B15-V$3)/V$3</f>
        <v>16.929389514646974</v>
      </c>
      <c r="W15" s="20">
        <f>100*($B15-W$3)/W$3</f>
        <v>15.829334383629266</v>
      </c>
      <c r="X15" s="20">
        <f>100*($B15-X$3)/X$3</f>
        <v>11.658366087606336</v>
      </c>
      <c r="Y15" s="20">
        <f>100*($B15-Y$3)/Y$3</f>
        <v>7.9997973329298677</v>
      </c>
      <c r="Z15" s="20">
        <f>100*($B15-Z$3)/Z$3</f>
        <v>7.1703058019549717</v>
      </c>
      <c r="AA15" s="20">
        <f>100*($B15-AA$3)/AA$3</f>
        <v>14.686908071900319</v>
      </c>
    </row>
    <row r="16" spans="1:27">
      <c r="A16" s="8" t="str">
        <f>MXenes!A15</f>
        <v>Nb3C2</v>
      </c>
      <c r="B16" s="18">
        <f>MXenes!D15</f>
        <v>3.153</v>
      </c>
      <c r="C16" s="19" t="str">
        <f>MXenes!B15</f>
        <v>single M3C2</v>
      </c>
      <c r="D16" s="20">
        <f>100*($B16-D$3)/D$3</f>
        <v>26.529195033125319</v>
      </c>
      <c r="E16" s="20">
        <f>100*($B16-E$3)/E$3</f>
        <v>25.797420362307989</v>
      </c>
      <c r="F16" s="20">
        <f>100*($B16-F$3)/F$3</f>
        <v>23.351001747278467</v>
      </c>
      <c r="G16" s="20">
        <f>100*($B16-G$3)/G$3</f>
        <v>17.237612719208322</v>
      </c>
      <c r="H16" s="20">
        <f>100*($B16-H$3)/H$3</f>
        <v>16.138338338343733</v>
      </c>
      <c r="I16" s="20">
        <f>100*($B16-I$3)/I$3</f>
        <v>14.607020900155996</v>
      </c>
      <c r="J16" s="20">
        <f>100*($B16-J$3)/J$3</f>
        <v>13.637334339875341</v>
      </c>
      <c r="K16" s="20">
        <f>100*($B16-K$3)/K$3</f>
        <v>10.110019808434648</v>
      </c>
      <c r="L16" s="20">
        <f>100*($B16-L$3)/L$3</f>
        <v>9.3378294875770926</v>
      </c>
      <c r="M16" s="20">
        <f>100*($B16-M$3)/M$3</f>
        <v>9.147807068327154</v>
      </c>
      <c r="N16" s="20">
        <f>100*($B16-N$3)/N$3</f>
        <v>-9.92252106657571</v>
      </c>
      <c r="O16" s="20">
        <f>100*($B16-O$3)/O$3</f>
        <v>24.832456947434732</v>
      </c>
      <c r="P16" s="20">
        <f>100*($B16-P$3)/P$3</f>
        <v>24.692823326688178</v>
      </c>
      <c r="Q16" s="20">
        <f>100*($B16-Q$3)/Q$3</f>
        <v>27.255004627921497</v>
      </c>
      <c r="R16" s="20">
        <f>100*($B16-R$3)/R$3</f>
        <v>25.429405405411224</v>
      </c>
      <c r="S16" s="20">
        <f>100*($B16-S$3)/S$3</f>
        <v>24.241163615557792</v>
      </c>
      <c r="T16" s="20">
        <f>100*($B16-T$3)/T$3</f>
        <v>22.298830558485168</v>
      </c>
      <c r="U16" s="20">
        <f>100*($B16-U$3)/U$3</f>
        <v>23.518431084830176</v>
      </c>
      <c r="V16" s="20">
        <f>100*($B16-V$3)/V$3</f>
        <v>24.553501736379022</v>
      </c>
      <c r="W16" s="20">
        <f>100*($B16-W$3)/W$3</f>
        <v>23.381720037696986</v>
      </c>
      <c r="X16" s="20">
        <f>100*($B16-X$3)/X$3</f>
        <v>18.938793335886075</v>
      </c>
      <c r="Y16" s="20">
        <f>100*($B16-Y$3)/Y$3</f>
        <v>15.041676010381041</v>
      </c>
      <c r="Z16" s="20">
        <f>100*($B16-Z$3)/Z$3</f>
        <v>14.158099389717579</v>
      </c>
      <c r="AA16" s="20">
        <f>100*($B16-AA$3)/AA$3</f>
        <v>22.164804442804634</v>
      </c>
    </row>
    <row r="17" spans="1:27">
      <c r="A17" s="8" t="str">
        <f>MXenes!A16</f>
        <v>Mo3C2</v>
      </c>
      <c r="B17" s="18">
        <f>MXenes!D16</f>
        <v>3.0249999999999999</v>
      </c>
      <c r="C17" s="19" t="str">
        <f>MXenes!B16</f>
        <v>single M3C2</v>
      </c>
      <c r="D17" s="20">
        <f>100*($B17-D$3)/D$3</f>
        <v>21.392583246179534</v>
      </c>
      <c r="E17" s="20">
        <f>100*($B17-E$3)/E$3</f>
        <v>20.690515888354472</v>
      </c>
      <c r="F17" s="20">
        <f>100*($B17-F$3)/F$3</f>
        <v>18.343412713453013</v>
      </c>
      <c r="G17" s="20">
        <f>100*($B17-G$3)/G$3</f>
        <v>12.478204400762817</v>
      </c>
      <c r="H17" s="20">
        <f>100*($B17-H$3)/H$3</f>
        <v>11.423556445762696</v>
      </c>
      <c r="I17" s="20">
        <f>100*($B17-I$3)/I$3</f>
        <v>9.9544047646596496</v>
      </c>
      <c r="J17" s="20">
        <f>100*($B17-J$3)/J$3</f>
        <v>9.0240838497059599</v>
      </c>
      <c r="K17" s="20">
        <f>100*($B17-K$3)/K$3</f>
        <v>5.6399650873817944</v>
      </c>
      <c r="L17" s="20">
        <f>100*($B17-L$3)/L$3</f>
        <v>4.8991228036538832</v>
      </c>
      <c r="M17" s="20">
        <f>100*($B17-M$3)/M$3</f>
        <v>4.7168145834727637</v>
      </c>
      <c r="N17" s="20">
        <f>100*($B17-N$3)/N$3</f>
        <v>-13.579329599236134</v>
      </c>
      <c r="O17" s="20">
        <f>100*($B17-O$3)/O$3</f>
        <v>19.76472637678086</v>
      </c>
      <c r="P17" s="20">
        <f>100*($B17-P$3)/P$3</f>
        <v>19.63076135846233</v>
      </c>
      <c r="Q17" s="20">
        <f>100*($B17-Q$3)/Q$3</f>
        <v>22.088927687745805</v>
      </c>
      <c r="R17" s="20">
        <f>100*($B17-R$3)/R$3</f>
        <v>20.337440961423706</v>
      </c>
      <c r="S17" s="20">
        <f>100*($B17-S$3)/S$3</f>
        <v>19.19743734128205</v>
      </c>
      <c r="T17" s="20">
        <f>100*($B17-T$3)/T$3</f>
        <v>17.333955737208253</v>
      </c>
      <c r="U17" s="20">
        <f>100*($B17-U$3)/U$3</f>
        <v>18.504045046498977</v>
      </c>
      <c r="V17" s="20">
        <f>100*($B17-V$3)/V$3</f>
        <v>19.497095703313203</v>
      </c>
      <c r="W17" s="20">
        <f>100*($B17-W$3)/W$3</f>
        <v>18.372883956242745</v>
      </c>
      <c r="X17" s="20">
        <f>100*($B17-X$3)/X$3</f>
        <v>14.110323451016608</v>
      </c>
      <c r="Y17" s="20">
        <f>100*($B17-Y$3)/Y$3</f>
        <v>10.371414504092177</v>
      </c>
      <c r="Z17" s="20">
        <f>100*($B17-Z$3)/Z$3</f>
        <v>9.5237077874708742</v>
      </c>
      <c r="AA17" s="20">
        <f>100*($B17-AA$3)/AA$3</f>
        <v>17.205370580235964</v>
      </c>
    </row>
    <row r="18" spans="1:27">
      <c r="A18" s="8" t="str">
        <f>MXenes!A17</f>
        <v>Ti4C3</v>
      </c>
      <c r="B18" s="18">
        <f>MXenes!D17</f>
        <v>3.09</v>
      </c>
      <c r="C18" s="19" t="str">
        <f>MXenes!B17</f>
        <v>single M4C3</v>
      </c>
      <c r="D18" s="20">
        <f>100*($B18-D$3)/D$3</f>
        <v>24.001018919237936</v>
      </c>
      <c r="E18" s="20">
        <f>100*($B18-E$3)/E$3</f>
        <v>23.283865816533989</v>
      </c>
      <c r="F18" s="20">
        <f>100*($B18-F$3)/F$3</f>
        <v>20.8863290196925</v>
      </c>
      <c r="G18" s="20">
        <f>100*($B18-G$3)/G$3</f>
        <v>14.895091437473424</v>
      </c>
      <c r="H18" s="20">
        <f>100*($B18-H$3)/H$3</f>
        <v>13.817781625588999</v>
      </c>
      <c r="I18" s="20">
        <f>100*($B18-I$3)/I$3</f>
        <v>12.317061395966384</v>
      </c>
      <c r="J18" s="20">
        <f>100*($B18-J$3)/J$3</f>
        <v>11.366750114245097</v>
      </c>
      <c r="K18" s="20">
        <f>100*($B18-K$3)/K$3</f>
        <v>7.9099147504164424</v>
      </c>
      <c r="L18" s="20">
        <f>100*($B18-L$3)/L$3</f>
        <v>7.1531535415836336</v>
      </c>
      <c r="M18" s="20">
        <f>100*($B18-M$3)/M$3</f>
        <v>6.96692795468788</v>
      </c>
      <c r="N18" s="20">
        <f>100*($B18-N$3)/N$3</f>
        <v>-11.722356516244515</v>
      </c>
      <c r="O18" s="20">
        <f>100*($B18-O$3)/O$3</f>
        <v>22.338183307191024</v>
      </c>
      <c r="P18" s="20">
        <f>100*($B18-P$3)/P$3</f>
        <v>22.201339701702015</v>
      </c>
      <c r="Q18" s="20">
        <f>100*($B18-Q$3)/Q$3</f>
        <v>24.712326133928769</v>
      </c>
      <c r="R18" s="20">
        <f>100*($B18-R$3)/R$3</f>
        <v>22.92320415563611</v>
      </c>
      <c r="S18" s="20">
        <f>100*($B18-S$3)/S$3</f>
        <v>21.758704589937693</v>
      </c>
      <c r="T18" s="20">
        <f>100*($B18-T$3)/T$3</f>
        <v>19.855181232387935</v>
      </c>
      <c r="U18" s="20">
        <f>100*($B18-U$3)/U$3</f>
        <v>21.050412956589032</v>
      </c>
      <c r="V18" s="20">
        <f>100*($B18-V$3)/V$3</f>
        <v>22.064801891979435</v>
      </c>
      <c r="W18" s="20">
        <f>100*($B18-W$3)/W$3</f>
        <v>20.916433528856221</v>
      </c>
      <c r="X18" s="20">
        <f>100*($B18-X$3)/X$3</f>
        <v>16.562280814426881</v>
      </c>
      <c r="Y18" s="20">
        <f>100*($B18-Y$3)/Y$3</f>
        <v>12.743031675254489</v>
      </c>
      <c r="Z18" s="20">
        <f>100*($B18-Z$3)/Z$3</f>
        <v>11.877109772986776</v>
      </c>
      <c r="AA18" s="20">
        <f>100*($B18-AA$3)/AA$3</f>
        <v>19.723833088571613</v>
      </c>
    </row>
    <row r="19" spans="1:27">
      <c r="A19" s="8" t="str">
        <f>MXenes!A18</f>
        <v>Nb4C3</v>
      </c>
      <c r="B19" s="18">
        <f>MXenes!D18</f>
        <v>3.13</v>
      </c>
      <c r="C19" s="19" t="str">
        <f>MXenes!B18</f>
        <v>single M4C3</v>
      </c>
      <c r="D19" s="20">
        <f>100*($B19-D$3)/D$3</f>
        <v>25.606210102658494</v>
      </c>
      <c r="E19" s="20">
        <f>100*($B19-E$3)/E$3</f>
        <v>24.879773464644462</v>
      </c>
      <c r="F19" s="20">
        <f>100*($B19-F$3)/F$3</f>
        <v>22.451200592762952</v>
      </c>
      <c r="G19" s="20">
        <f>100*($B19-G$3)/G$3</f>
        <v>16.382406536987641</v>
      </c>
      <c r="H19" s="20">
        <f>100*($B19-H$3)/H$3</f>
        <v>15.291150967020574</v>
      </c>
      <c r="I19" s="20">
        <f>100*($B19-I$3)/I$3</f>
        <v>13.771003938308992</v>
      </c>
      <c r="J19" s="20">
        <f>100*($B19-J$3)/J$3</f>
        <v>12.808390892423027</v>
      </c>
      <c r="K19" s="20">
        <f>100*($B19-K$3)/K$3</f>
        <v>9.3068068507454598</v>
      </c>
      <c r="L19" s="20">
        <f>100*($B19-L$3)/L$3</f>
        <v>8.5402493803096373</v>
      </c>
      <c r="M19" s="20">
        <f>100*($B19-M$3)/M$3</f>
        <v>8.3516131062048764</v>
      </c>
      <c r="N19" s="20">
        <f>100*($B19-N$3)/N$3</f>
        <v>-10.579603849788134</v>
      </c>
      <c r="O19" s="20">
        <f>100*($B19-O$3)/O$3</f>
        <v>23.921849110520363</v>
      </c>
      <c r="P19" s="20">
        <f>100*($B19-P$3)/P$3</f>
        <v>23.783234066772589</v>
      </c>
      <c r="Q19" s="20">
        <f>100*($B19-Q$3)/Q$3</f>
        <v>26.326725177733675</v>
      </c>
      <c r="R19" s="20">
        <f>100*($B19-R$3)/R$3</f>
        <v>24.514443044382212</v>
      </c>
      <c r="S19" s="20">
        <f>100*($B19-S$3)/S$3</f>
        <v>23.334869050648862</v>
      </c>
      <c r="T19" s="20">
        <f>100*($B19-T$3)/T$3</f>
        <v>21.406704614036968</v>
      </c>
      <c r="U19" s="20">
        <f>100*($B19-U$3)/U$3</f>
        <v>22.617408593567532</v>
      </c>
      <c r="V19" s="20">
        <f>100*($B19-V$3)/V$3</f>
        <v>23.644928777312504</v>
      </c>
      <c r="W19" s="20">
        <f>100*($B19-W$3)/W$3</f>
        <v>22.481694804310674</v>
      </c>
      <c r="X19" s="20">
        <f>100*($B19-X$3)/X$3</f>
        <v>18.07117765344859</v>
      </c>
      <c r="Y19" s="20">
        <f>100*($B19-Y$3)/Y$3</f>
        <v>14.202488395969757</v>
      </c>
      <c r="Z19" s="20">
        <f>100*($B19-Z$3)/Z$3</f>
        <v>13.32535714868887</v>
      </c>
      <c r="AA19" s="20">
        <f>100*($B19-AA$3)/AA$3</f>
        <v>21.273656170624321</v>
      </c>
    </row>
    <row r="20" spans="1:27">
      <c r="A20" s="8" t="str">
        <f>MXenes!A19</f>
        <v>Mo2TiC2</v>
      </c>
      <c r="B20" s="18">
        <f>MXenes!D19</f>
        <v>3.1669999999999998</v>
      </c>
      <c r="C20" s="19" t="str">
        <f>MXenes!B19</f>
        <v>ordered DTM</v>
      </c>
      <c r="D20" s="20">
        <f>100*($B20-D$3)/D$3</f>
        <v>27.091011947322503</v>
      </c>
      <c r="E20" s="20">
        <f>100*($B20-E$3)/E$3</f>
        <v>26.355988039146645</v>
      </c>
      <c r="F20" s="20">
        <f>100*($B20-F$3)/F$3</f>
        <v>23.898706797853119</v>
      </c>
      <c r="G20" s="20">
        <f>100*($B20-G$3)/G$3</f>
        <v>17.758173004038291</v>
      </c>
      <c r="H20" s="20">
        <f>100*($B20-H$3)/H$3</f>
        <v>16.654017607844779</v>
      </c>
      <c r="I20" s="20">
        <f>100*($B20-I$3)/I$3</f>
        <v>15.115900789975901</v>
      </c>
      <c r="J20" s="20">
        <f>100*($B20-J$3)/J$3</f>
        <v>14.141908612237609</v>
      </c>
      <c r="K20" s="20">
        <f>100*($B20-K$3)/K$3</f>
        <v>10.598932043549796</v>
      </c>
      <c r="L20" s="20">
        <f>100*($B20-L$3)/L$3</f>
        <v>9.8233130311311854</v>
      </c>
      <c r="M20" s="20">
        <f>100*($B20-M$3)/M$3</f>
        <v>9.6324468713580949</v>
      </c>
      <c r="N20" s="20">
        <f>100*($B20-N$3)/N$3</f>
        <v>-9.5225576333159818</v>
      </c>
      <c r="O20" s="20">
        <f>100*($B20-O$3)/O$3</f>
        <v>25.386739978599991</v>
      </c>
      <c r="P20" s="20">
        <f>100*($B20-P$3)/P$3</f>
        <v>25.246486354462871</v>
      </c>
      <c r="Q20" s="20">
        <f>100*($B20-Q$3)/Q$3</f>
        <v>27.820044293253211</v>
      </c>
      <c r="R20" s="20">
        <f>100*($B20-R$3)/R$3</f>
        <v>25.986339016472353</v>
      </c>
      <c r="S20" s="20">
        <f>100*($B20-S$3)/S$3</f>
        <v>24.79282117680669</v>
      </c>
      <c r="T20" s="20">
        <f>100*($B20-T$3)/T$3</f>
        <v>22.841863742062323</v>
      </c>
      <c r="U20" s="20">
        <f>100*($B20-U$3)/U$3</f>
        <v>24.066879557772641</v>
      </c>
      <c r="V20" s="20">
        <f>100*($B20-V$3)/V$3</f>
        <v>25.106546146245591</v>
      </c>
      <c r="W20" s="20">
        <f>100*($B20-W$3)/W$3</f>
        <v>23.929561484106035</v>
      </c>
      <c r="X20" s="20">
        <f>100*($B20-X$3)/X$3</f>
        <v>19.466907229543665</v>
      </c>
      <c r="Y20" s="20">
        <f>100*($B20-Y$3)/Y$3</f>
        <v>15.552485862631379</v>
      </c>
      <c r="Z20" s="20">
        <f>100*($B20-Z$3)/Z$3</f>
        <v>14.664985971213305</v>
      </c>
      <c r="AA20" s="20">
        <f>100*($B20-AA$3)/AA$3</f>
        <v>22.707242521523071</v>
      </c>
    </row>
    <row r="21" spans="1:27">
      <c r="A21" s="8" t="str">
        <f>MXenes!A20</f>
        <v>Mo2VC2</v>
      </c>
      <c r="B21" s="18">
        <f>MXenes!D20</f>
        <v>3.18</v>
      </c>
      <c r="C21" s="19" t="str">
        <f>MXenes!B20</f>
        <v>ordered DTM</v>
      </c>
      <c r="D21" s="20">
        <f>100*($B21-D$3)/D$3</f>
        <v>27.612699081934199</v>
      </c>
      <c r="E21" s="20">
        <f>100*($B21-E$3)/E$3</f>
        <v>26.874658024782565</v>
      </c>
      <c r="F21" s="20">
        <f>100*($B21-F$3)/F$3</f>
        <v>24.40729005910103</v>
      </c>
      <c r="G21" s="20">
        <f>100*($B21-G$3)/G$3</f>
        <v>18.241550411380427</v>
      </c>
      <c r="H21" s="20">
        <f>100*($B21-H$3)/H$3</f>
        <v>17.13286264381005</v>
      </c>
      <c r="I21" s="20">
        <f>100*($B21-I$3)/I$3</f>
        <v>15.588432116237261</v>
      </c>
      <c r="J21" s="20">
        <f>100*($B21-J$3)/J$3</f>
        <v>14.61044186514545</v>
      </c>
      <c r="K21" s="20">
        <f>100*($B21-K$3)/K$3</f>
        <v>11.052921976156739</v>
      </c>
      <c r="L21" s="20">
        <f>100*($B21-L$3)/L$3</f>
        <v>10.274119178717148</v>
      </c>
      <c r="M21" s="20">
        <f>100*($B21-M$3)/M$3</f>
        <v>10.082469545601128</v>
      </c>
      <c r="N21" s="20">
        <f>100*($B21-N$3)/N$3</f>
        <v>-9.1511630167176481</v>
      </c>
      <c r="O21" s="20">
        <f>100*($B21-O$3)/O$3</f>
        <v>25.90143136468204</v>
      </c>
      <c r="P21" s="20">
        <f>100*($B21-P$3)/P$3</f>
        <v>25.76060202311082</v>
      </c>
      <c r="Q21" s="20">
        <f>100*($B21-Q$3)/Q$3</f>
        <v>28.344723982489814</v>
      </c>
      <c r="R21" s="20">
        <f>100*($B21-R$3)/R$3</f>
        <v>26.503491655314846</v>
      </c>
      <c r="S21" s="20">
        <f>100*($B21-S$3)/S$3</f>
        <v>25.305074626537834</v>
      </c>
      <c r="T21" s="20">
        <f>100*($B21-T$3)/T$3</f>
        <v>23.346108841098271</v>
      </c>
      <c r="U21" s="20">
        <f>100*($B21-U$3)/U$3</f>
        <v>24.576153139790666</v>
      </c>
      <c r="V21" s="20">
        <f>100*($B21-V$3)/V$3</f>
        <v>25.620087383978849</v>
      </c>
      <c r="W21" s="20">
        <f>100*($B21-W$3)/W$3</f>
        <v>24.438271398628746</v>
      </c>
      <c r="X21" s="20">
        <f>100*($B21-X$3)/X$3</f>
        <v>19.957298702225732</v>
      </c>
      <c r="Y21" s="20">
        <f>100*($B21-Y$3)/Y$3</f>
        <v>16.026809296863853</v>
      </c>
      <c r="Z21" s="20">
        <f>100*($B21-Z$3)/Z$3</f>
        <v>15.135666368316498</v>
      </c>
      <c r="AA21" s="20">
        <f>100*($B21-AA$3)/AA$3</f>
        <v>23.210935023190213</v>
      </c>
    </row>
    <row r="22" spans="1:27">
      <c r="A22" s="8" t="str">
        <f>MXenes!A21</f>
        <v>Mo2NbC2</v>
      </c>
      <c r="B22" s="18">
        <f>MXenes!D21</f>
        <v>3.282</v>
      </c>
      <c r="C22" s="19" t="str">
        <f>MXenes!B21</f>
        <v>ordered DTM</v>
      </c>
      <c r="D22" s="20">
        <f>100*($B22-D$3)/D$3</f>
        <v>31.705936599656614</v>
      </c>
      <c r="E22" s="20">
        <f>100*($B22-E$3)/E$3</f>
        <v>30.944222527464266</v>
      </c>
      <c r="F22" s="20">
        <f>100*($B22-F$3)/F$3</f>
        <v>28.397712570430681</v>
      </c>
      <c r="G22" s="20">
        <f>100*($B22-G$3)/G$3</f>
        <v>22.034203915141681</v>
      </c>
      <c r="H22" s="20">
        <f>100*($B22-H$3)/H$3</f>
        <v>20.889954464460555</v>
      </c>
      <c r="I22" s="20">
        <f>100*($B22-I$3)/I$3</f>
        <v>19.295985599210905</v>
      </c>
      <c r="J22" s="20">
        <f>100*($B22-J$3)/J$3</f>
        <v>18.286625849499167</v>
      </c>
      <c r="K22" s="20">
        <f>100*($B22-K$3)/K$3</f>
        <v>14.614996831995724</v>
      </c>
      <c r="L22" s="20">
        <f>100*($B22-L$3)/L$3</f>
        <v>13.811213567468448</v>
      </c>
      <c r="M22" s="20">
        <f>100*($B22-M$3)/M$3</f>
        <v>13.613416681969463</v>
      </c>
      <c r="N22" s="20">
        <f>100*($B22-N$3)/N$3</f>
        <v>-6.2371437172538782</v>
      </c>
      <c r="O22" s="20">
        <f>100*($B22-O$3)/O$3</f>
        <v>29.939779163171835</v>
      </c>
      <c r="P22" s="20">
        <f>100*($B22-P$3)/P$3</f>
        <v>29.794432654040786</v>
      </c>
      <c r="Q22" s="20">
        <f>100*($B22-Q$3)/Q$3</f>
        <v>32.461441544192311</v>
      </c>
      <c r="R22" s="20">
        <f>100*($B22-R$3)/R$3</f>
        <v>30.561150821617392</v>
      </c>
      <c r="S22" s="20">
        <f>100*($B22-S$3)/S$3</f>
        <v>29.324294001351301</v>
      </c>
      <c r="T22" s="20">
        <f>100*($B22-T$3)/T$3</f>
        <v>27.302493464303307</v>
      </c>
      <c r="U22" s="20">
        <f>100*($B22-U$3)/U$3</f>
        <v>28.571992014085833</v>
      </c>
      <c r="V22" s="20">
        <f>100*($B22-V$3)/V$3</f>
        <v>29.649410941578164</v>
      </c>
      <c r="W22" s="20">
        <f>100*($B22-W$3)/W$3</f>
        <v>28.42968765103759</v>
      </c>
      <c r="X22" s="20">
        <f>100*($B22-X$3)/X$3</f>
        <v>23.804985641731083</v>
      </c>
      <c r="Y22" s="20">
        <f>100*($B22-Y$3)/Y$3</f>
        <v>19.748423934687782</v>
      </c>
      <c r="Z22" s="20">
        <f>100*($B22-Z$3)/Z$3</f>
        <v>18.828697176356833</v>
      </c>
      <c r="AA22" s="20">
        <f>100*($B22-AA$3)/AA$3</f>
        <v>27.162983882424612</v>
      </c>
    </row>
    <row r="23" spans="1:27">
      <c r="A23" s="8" t="str">
        <f>MXenes!A22</f>
        <v>Mo2TaC2</v>
      </c>
      <c r="B23" s="18">
        <f>MXenes!D22</f>
        <v>3.1339999999999999</v>
      </c>
      <c r="C23" s="19" t="str">
        <f>MXenes!B22</f>
        <v>ordered DTM</v>
      </c>
      <c r="D23" s="20">
        <f>100*($B23-D$3)/D$3</f>
        <v>25.766729221000553</v>
      </c>
      <c r="E23" s="20">
        <f>100*($B23-E$3)/E$3</f>
        <v>25.039364229455511</v>
      </c>
      <c r="F23" s="20">
        <f>100*($B23-F$3)/F$3</f>
        <v>22.607687750069999</v>
      </c>
      <c r="G23" s="20">
        <f>100*($B23-G$3)/G$3</f>
        <v>16.531138046939063</v>
      </c>
      <c r="H23" s="20">
        <f>100*($B23-H$3)/H$3</f>
        <v>15.438487901163731</v>
      </c>
      <c r="I23" s="20">
        <f>100*($B23-I$3)/I$3</f>
        <v>13.916398192543252</v>
      </c>
      <c r="J23" s="20">
        <f>100*($B23-J$3)/J$3</f>
        <v>12.95255497024082</v>
      </c>
      <c r="K23" s="20">
        <f>100*($B23-K$3)/K$3</f>
        <v>9.4464960607783617</v>
      </c>
      <c r="L23" s="20">
        <f>100*($B23-L$3)/L$3</f>
        <v>8.6789589641822378</v>
      </c>
      <c r="M23" s="20">
        <f>100*($B23-M$3)/M$3</f>
        <v>8.4900816213565768</v>
      </c>
      <c r="N23" s="20">
        <f>100*($B23-N$3)/N$3</f>
        <v>-10.465328583142496</v>
      </c>
      <c r="O23" s="20">
        <f>100*($B23-O$3)/O$3</f>
        <v>24.080215690853294</v>
      </c>
      <c r="P23" s="20">
        <f>100*($B23-P$3)/P$3</f>
        <v>23.941423503279651</v>
      </c>
      <c r="Q23" s="20">
        <f>100*($B23-Q$3)/Q$3</f>
        <v>26.488165082114165</v>
      </c>
      <c r="R23" s="20">
        <f>100*($B23-R$3)/R$3</f>
        <v>24.673566933256822</v>
      </c>
      <c r="S23" s="20">
        <f>100*($B23-S$3)/S$3</f>
        <v>23.492485496719979</v>
      </c>
      <c r="T23" s="20">
        <f>100*($B23-T$3)/T$3</f>
        <v>21.561856952201875</v>
      </c>
      <c r="U23" s="20">
        <f>100*($B23-U$3)/U$3</f>
        <v>22.774108157265381</v>
      </c>
      <c r="V23" s="20">
        <f>100*($B23-V$3)/V$3</f>
        <v>23.802941465845812</v>
      </c>
      <c r="W23" s="20">
        <f>100*($B23-W$3)/W$3</f>
        <v>22.638220931856118</v>
      </c>
      <c r="X23" s="20">
        <f>100*($B23-X$3)/X$3</f>
        <v>18.222067337350762</v>
      </c>
      <c r="Y23" s="20">
        <f>100*($B23-Y$3)/Y$3</f>
        <v>14.348434068041286</v>
      </c>
      <c r="Z23" s="20">
        <f>100*($B23-Z$3)/Z$3</f>
        <v>13.470181886259082</v>
      </c>
      <c r="AA23" s="20">
        <f>100*($B23-AA$3)/AA$3</f>
        <v>21.42863847882959</v>
      </c>
    </row>
    <row r="24" spans="1:27">
      <c r="A24" s="8" t="str">
        <f>MXenes!A23</f>
        <v>Cr2TiC2</v>
      </c>
      <c r="B24" s="18">
        <f>MXenes!D23</f>
        <v>3.0350000000000001</v>
      </c>
      <c r="C24" s="19" t="str">
        <f>MXenes!B23</f>
        <v>ordered DTM</v>
      </c>
      <c r="D24" s="20">
        <f>100*($B24-D$3)/D$3</f>
        <v>21.793881042034684</v>
      </c>
      <c r="E24" s="20">
        <f>100*($B24-E$3)/E$3</f>
        <v>21.0894928003821</v>
      </c>
      <c r="F24" s="20">
        <f>100*($B24-F$3)/F$3</f>
        <v>18.734630606720636</v>
      </c>
      <c r="G24" s="20">
        <f>100*($B24-G$3)/G$3</f>
        <v>12.850033175641382</v>
      </c>
      <c r="H24" s="20">
        <f>100*($B24-H$3)/H$3</f>
        <v>11.791898781120597</v>
      </c>
      <c r="I24" s="20">
        <f>100*($B24-I$3)/I$3</f>
        <v>10.317890400245309</v>
      </c>
      <c r="J24" s="20">
        <f>100*($B24-J$3)/J$3</f>
        <v>9.3844940442504523</v>
      </c>
      <c r="K24" s="20">
        <f>100*($B24-K$3)/K$3</f>
        <v>5.9891881124640562</v>
      </c>
      <c r="L24" s="20">
        <f>100*($B24-L$3)/L$3</f>
        <v>5.2458967633353915</v>
      </c>
      <c r="M24" s="20">
        <f>100*($B24-M$3)/M$3</f>
        <v>5.0629858713520211</v>
      </c>
      <c r="N24" s="20">
        <f>100*($B24-N$3)/N$3</f>
        <v>-13.293641432622032</v>
      </c>
      <c r="O24" s="20">
        <f>100*($B24-O$3)/O$3</f>
        <v>20.160642827613202</v>
      </c>
      <c r="P24" s="20">
        <f>100*($B24-P$3)/P$3</f>
        <v>20.026234949729982</v>
      </c>
      <c r="Q24" s="20">
        <f>100*($B24-Q$3)/Q$3</f>
        <v>22.492527448697039</v>
      </c>
      <c r="R24" s="20">
        <f>100*($B24-R$3)/R$3</f>
        <v>20.735250683610239</v>
      </c>
      <c r="S24" s="20">
        <f>100*($B24-S$3)/S$3</f>
        <v>19.59147845645985</v>
      </c>
      <c r="T24" s="20">
        <f>100*($B24-T$3)/T$3</f>
        <v>17.721836582620522</v>
      </c>
      <c r="U24" s="20">
        <f>100*($B24-U$3)/U$3</f>
        <v>18.895793955743606</v>
      </c>
      <c r="V24" s="20">
        <f>100*($B24-V$3)/V$3</f>
        <v>19.892127424646478</v>
      </c>
      <c r="W24" s="20">
        <f>100*($B24-W$3)/W$3</f>
        <v>18.764199275106364</v>
      </c>
      <c r="X24" s="20">
        <f>100*($B24-X$3)/X$3</f>
        <v>14.487547660772044</v>
      </c>
      <c r="Y24" s="20">
        <f>100*($B24-Y$3)/Y$3</f>
        <v>10.736278684271005</v>
      </c>
      <c r="Z24" s="20">
        <f>100*($B24-Z$3)/Z$3</f>
        <v>9.885769631396407</v>
      </c>
      <c r="AA24" s="20">
        <f>100*($B24-AA$3)/AA$3</f>
        <v>17.592826350749149</v>
      </c>
    </row>
    <row r="25" spans="1:27">
      <c r="A25" s="8" t="str">
        <f>MXenes!A24</f>
        <v>Cr2VC2</v>
      </c>
      <c r="B25" s="18">
        <f>MXenes!D24</f>
        <v>3.06</v>
      </c>
      <c r="C25" s="19" t="str">
        <f>MXenes!B24</f>
        <v>ordered DTM</v>
      </c>
      <c r="D25" s="20">
        <f>100*($B25-D$3)/D$3</f>
        <v>22.797125531672528</v>
      </c>
      <c r="E25" s="20">
        <f>100*($B25-E$3)/E$3</f>
        <v>22.086935080451141</v>
      </c>
      <c r="F25" s="20">
        <f>100*($B25-F$3)/F$3</f>
        <v>19.712675339889664</v>
      </c>
      <c r="G25" s="20">
        <f>100*($B25-G$3)/G$3</f>
        <v>13.779605112837764</v>
      </c>
      <c r="H25" s="20">
        <f>100*($B25-H$3)/H$3</f>
        <v>12.712754619515326</v>
      </c>
      <c r="I25" s="20">
        <f>100*($B25-I$3)/I$3</f>
        <v>11.226604489209436</v>
      </c>
      <c r="J25" s="20">
        <f>100*($B25-J$3)/J$3</f>
        <v>10.285519530611655</v>
      </c>
      <c r="K25" s="20">
        <f>100*($B25-K$3)/K$3</f>
        <v>6.8622456751696879</v>
      </c>
      <c r="L25" s="20">
        <f>100*($B25-L$3)/L$3</f>
        <v>6.1128316625391399</v>
      </c>
      <c r="M25" s="20">
        <f>100*($B25-M$3)/M$3</f>
        <v>5.9284140910501408</v>
      </c>
      <c r="N25" s="20">
        <f>100*($B25-N$3)/N$3</f>
        <v>-12.579421016086796</v>
      </c>
      <c r="O25" s="20">
        <f>100*($B25-O$3)/O$3</f>
        <v>21.150433954694034</v>
      </c>
      <c r="P25" s="20">
        <f>100*($B25-P$3)/P$3</f>
        <v>21.014918927899089</v>
      </c>
      <c r="Q25" s="20">
        <f>100*($B25-Q$3)/Q$3</f>
        <v>23.501526851075102</v>
      </c>
      <c r="R25" s="20">
        <f>100*($B25-R$3)/R$3</f>
        <v>21.729774989076546</v>
      </c>
      <c r="S25" s="20">
        <f>100*($B25-S$3)/S$3</f>
        <v>20.576581244404327</v>
      </c>
      <c r="T25" s="20">
        <f>100*($B25-T$3)/T$3</f>
        <v>18.691538696151163</v>
      </c>
      <c r="U25" s="20">
        <f>100*($B25-U$3)/U$3</f>
        <v>19.875166228855168</v>
      </c>
      <c r="V25" s="20">
        <f>100*($B25-V$3)/V$3</f>
        <v>20.879706727979645</v>
      </c>
      <c r="W25" s="20">
        <f>100*($B25-W$3)/W$3</f>
        <v>19.742487572265393</v>
      </c>
      <c r="X25" s="20">
        <f>100*($B25-X$3)/X$3</f>
        <v>15.430608185160608</v>
      </c>
      <c r="Y25" s="20">
        <f>100*($B25-Y$3)/Y$3</f>
        <v>11.648439134718043</v>
      </c>
      <c r="Z25" s="20">
        <f>100*($B25-Z$3)/Z$3</f>
        <v>10.790924241210211</v>
      </c>
      <c r="AA25" s="20">
        <f>100*($B25-AA$3)/AA$3</f>
        <v>18.56146577703209</v>
      </c>
    </row>
    <row r="26" spans="1:27">
      <c r="A26" s="8" t="str">
        <f>MXenes!A25</f>
        <v>Cr2NbC2</v>
      </c>
      <c r="B26" s="18">
        <f>MXenes!D25</f>
        <v>3.1749999999999998</v>
      </c>
      <c r="C26" s="19" t="str">
        <f>MXenes!B25</f>
        <v>ordered DTM</v>
      </c>
      <c r="D26" s="20">
        <f>100*($B26-D$3)/D$3</f>
        <v>27.41205018400662</v>
      </c>
      <c r="E26" s="20">
        <f>100*($B26-E$3)/E$3</f>
        <v>26.675169568768744</v>
      </c>
      <c r="F26" s="20">
        <f>100*($B26-F$3)/F$3</f>
        <v>24.211681112467208</v>
      </c>
      <c r="G26" s="20">
        <f>100*($B26-G$3)/G$3</f>
        <v>18.055636023941137</v>
      </c>
      <c r="H26" s="20">
        <f>100*($B26-H$3)/H$3</f>
        <v>16.948691476131092</v>
      </c>
      <c r="I26" s="20">
        <f>100*($B26-I$3)/I$3</f>
        <v>15.406689298444421</v>
      </c>
      <c r="J26" s="20">
        <f>100*($B26-J$3)/J$3</f>
        <v>14.430236767873197</v>
      </c>
      <c r="K26" s="20">
        <f>100*($B26-K$3)/K$3</f>
        <v>10.8783104636156</v>
      </c>
      <c r="L26" s="20">
        <f>100*($B26-L$3)/L$3</f>
        <v>10.100732198876388</v>
      </c>
      <c r="M26" s="20">
        <f>100*($B26-M$3)/M$3</f>
        <v>9.909383901661494</v>
      </c>
      <c r="N26" s="20">
        <f>100*($B26-N$3)/N$3</f>
        <v>-9.2940071000247073</v>
      </c>
      <c r="O26" s="20">
        <f>100*($B26-O$3)/O$3</f>
        <v>25.703473139265856</v>
      </c>
      <c r="P26" s="20">
        <f>100*($B26-P$3)/P$3</f>
        <v>25.562865227476987</v>
      </c>
      <c r="Q26" s="20">
        <f>100*($B26-Q$3)/Q$3</f>
        <v>28.142924102014188</v>
      </c>
      <c r="R26" s="20">
        <f>100*($B26-R$3)/R$3</f>
        <v>26.304586794221571</v>
      </c>
      <c r="S26" s="20">
        <f>100*($B26-S$3)/S$3</f>
        <v>25.108054068948924</v>
      </c>
      <c r="T26" s="20">
        <f>100*($B26-T$3)/T$3</f>
        <v>23.152168418392129</v>
      </c>
      <c r="U26" s="20">
        <f>100*($B26-U$3)/U$3</f>
        <v>24.380278685168339</v>
      </c>
      <c r="V26" s="20">
        <f>100*($B26-V$3)/V$3</f>
        <v>25.422571523312204</v>
      </c>
      <c r="W26" s="20">
        <f>100*($B26-W$3)/W$3</f>
        <v>24.242613739196926</v>
      </c>
      <c r="X26" s="20">
        <f>100*($B26-X$3)/X$3</f>
        <v>19.768686597348005</v>
      </c>
      <c r="Y26" s="20">
        <f>100*($B26-Y$3)/Y$3</f>
        <v>15.844377206774432</v>
      </c>
      <c r="Z26" s="20">
        <f>100*($B26-Z$3)/Z$3</f>
        <v>14.954635446353723</v>
      </c>
      <c r="AA26" s="20">
        <f>100*($B26-AA$3)/AA$3</f>
        <v>23.017207137933614</v>
      </c>
    </row>
    <row r="27" spans="1:27">
      <c r="A27" s="8" t="str">
        <f>MXenes!A26</f>
        <v>Cr2TaC2</v>
      </c>
      <c r="B27" s="18">
        <f>MXenes!D26</f>
        <v>3.1640000000000001</v>
      </c>
      <c r="C27" s="19" t="str">
        <f>MXenes!B26</f>
        <v>ordered DTM</v>
      </c>
      <c r="D27" s="20">
        <f>100*($B27-D$3)/D$3</f>
        <v>26.970622608565975</v>
      </c>
      <c r="E27" s="20">
        <f>100*($B27-E$3)/E$3</f>
        <v>26.23629496553837</v>
      </c>
      <c r="F27" s="20">
        <f>100*($B27-F$3)/F$3</f>
        <v>23.781341429872846</v>
      </c>
      <c r="G27" s="20">
        <f>100*($B27-G$3)/G$3</f>
        <v>17.646624371574738</v>
      </c>
      <c r="H27" s="20">
        <f>100*($B27-H$3)/H$3</f>
        <v>16.543514907237419</v>
      </c>
      <c r="I27" s="20">
        <f>100*($B27-I$3)/I$3</f>
        <v>15.006855099300218</v>
      </c>
      <c r="J27" s="20">
        <f>100*($B27-J$3)/J$3</f>
        <v>14.033785553874278</v>
      </c>
      <c r="K27" s="20">
        <f>100*($B27-K$3)/K$3</f>
        <v>10.494165136025131</v>
      </c>
      <c r="L27" s="20">
        <f>100*($B27-L$3)/L$3</f>
        <v>9.7192808432267483</v>
      </c>
      <c r="M27" s="20">
        <f>100*($B27-M$3)/M$3</f>
        <v>9.5285954849943302</v>
      </c>
      <c r="N27" s="20">
        <f>100*($B27-N$3)/N$3</f>
        <v>-9.6082640833002024</v>
      </c>
      <c r="O27" s="20">
        <f>100*($B27-O$3)/O$3</f>
        <v>25.267965043350301</v>
      </c>
      <c r="P27" s="20">
        <f>100*($B27-P$3)/P$3</f>
        <v>25.127844277082591</v>
      </c>
      <c r="Q27" s="20">
        <f>100*($B27-Q$3)/Q$3</f>
        <v>27.698964364967853</v>
      </c>
      <c r="R27" s="20">
        <f>100*($B27-R$3)/R$3</f>
        <v>25.866996099816408</v>
      </c>
      <c r="S27" s="20">
        <f>100*($B27-S$3)/S$3</f>
        <v>24.674608842253367</v>
      </c>
      <c r="T27" s="20">
        <f>100*($B27-T$3)/T$3</f>
        <v>22.725499488438658</v>
      </c>
      <c r="U27" s="20">
        <f>100*($B27-U$3)/U$3</f>
        <v>23.949354884999266</v>
      </c>
      <c r="V27" s="20">
        <f>100*($B27-V$3)/V$3</f>
        <v>24.988036629845624</v>
      </c>
      <c r="W27" s="20">
        <f>100*($B27-W$3)/W$3</f>
        <v>23.812166888446963</v>
      </c>
      <c r="X27" s="20">
        <f>100*($B27-X$3)/X$3</f>
        <v>19.353739966617049</v>
      </c>
      <c r="Y27" s="20">
        <f>100*($B27-Y$3)/Y$3</f>
        <v>15.443026608577744</v>
      </c>
      <c r="Z27" s="20">
        <f>100*($B27-Z$3)/Z$3</f>
        <v>14.556367418035659</v>
      </c>
      <c r="AA27" s="20">
        <f>100*($B27-AA$3)/AA$3</f>
        <v>22.591005790369135</v>
      </c>
    </row>
    <row r="28" spans="1:27">
      <c r="A28" s="8" t="str">
        <f>MXenes!A27</f>
        <v>Ti2NbC2</v>
      </c>
      <c r="B28" s="18">
        <f>MXenes!D27</f>
        <v>3.157</v>
      </c>
      <c r="C28" s="19" t="str">
        <f>MXenes!B27</f>
        <v>ordered DTM</v>
      </c>
      <c r="D28" s="20">
        <f>100*($B28-D$3)/D$3</f>
        <v>26.689714151467374</v>
      </c>
      <c r="E28" s="20">
        <f>100*($B28-E$3)/E$3</f>
        <v>25.957011127119038</v>
      </c>
      <c r="F28" s="20">
        <f>100*($B28-F$3)/F$3</f>
        <v>23.507488904585514</v>
      </c>
      <c r="G28" s="20">
        <f>100*($B28-G$3)/G$3</f>
        <v>17.386344229159747</v>
      </c>
      <c r="H28" s="20">
        <f>100*($B28-H$3)/H$3</f>
        <v>16.285675272486891</v>
      </c>
      <c r="I28" s="20">
        <f>100*($B28-I$3)/I$3</f>
        <v>14.752415154390256</v>
      </c>
      <c r="J28" s="20">
        <f>100*($B28-J$3)/J$3</f>
        <v>13.781498417693136</v>
      </c>
      <c r="K28" s="20">
        <f>100*($B28-K$3)/K$3</f>
        <v>10.249709018467549</v>
      </c>
      <c r="L28" s="20">
        <f>100*($B28-L$3)/L$3</f>
        <v>9.4765390714496931</v>
      </c>
      <c r="M28" s="20">
        <f>100*($B28-M$3)/M$3</f>
        <v>9.2862755834788526</v>
      </c>
      <c r="N28" s="20">
        <f>100*($B28-N$3)/N$3</f>
        <v>-9.8082457999300718</v>
      </c>
      <c r="O28" s="20">
        <f>100*($B28-O$3)/O$3</f>
        <v>24.990823527767667</v>
      </c>
      <c r="P28" s="20">
        <f>100*($B28-P$3)/P$3</f>
        <v>24.851012763195236</v>
      </c>
      <c r="Q28" s="20">
        <f>100*($B28-Q$3)/Q$3</f>
        <v>27.416444532301991</v>
      </c>
      <c r="R28" s="20">
        <f>100*($B28-R$3)/R$3</f>
        <v>25.588529294285834</v>
      </c>
      <c r="S28" s="20">
        <f>100*($B28-S$3)/S$3</f>
        <v>24.398780061628909</v>
      </c>
      <c r="T28" s="20">
        <f>100*($B28-T$3)/T$3</f>
        <v>22.453982896650071</v>
      </c>
      <c r="U28" s="20">
        <f>100*($B28-U$3)/U$3</f>
        <v>23.675130648528025</v>
      </c>
      <c r="V28" s="20">
        <f>100*($B28-V$3)/V$3</f>
        <v>24.71151442491233</v>
      </c>
      <c r="W28" s="20">
        <f>100*($B28-W$3)/W$3</f>
        <v>23.53824616524243</v>
      </c>
      <c r="X28" s="20">
        <f>100*($B28-X$3)/X$3</f>
        <v>19.089683019788247</v>
      </c>
      <c r="Y28" s="20">
        <f>100*($B28-Y$3)/Y$3</f>
        <v>15.187621682452569</v>
      </c>
      <c r="Z28" s="20">
        <f>100*($B28-Z$3)/Z$3</f>
        <v>14.30292412728779</v>
      </c>
      <c r="AA28" s="20">
        <f>100*($B28-AA$3)/AA$3</f>
        <v>22.319786751009904</v>
      </c>
    </row>
    <row r="29" spans="1:27">
      <c r="A29" s="8" t="str">
        <f>MXenes!A28</f>
        <v>Ti2TaC2</v>
      </c>
      <c r="B29" s="18">
        <f>MXenes!D28</f>
        <v>3.089</v>
      </c>
      <c r="C29" s="19" t="str">
        <f>MXenes!B28</f>
        <v>ordered DTM</v>
      </c>
      <c r="D29" s="20">
        <f>100*($B29-D$3)/D$3</f>
        <v>23.960889139652426</v>
      </c>
      <c r="E29" s="20">
        <f>100*($B29-E$3)/E$3</f>
        <v>23.243968125331229</v>
      </c>
      <c r="F29" s="20">
        <f>100*($B29-F$3)/F$3</f>
        <v>20.84720723036574</v>
      </c>
      <c r="G29" s="20">
        <f>100*($B29-G$3)/G$3</f>
        <v>14.857908559985569</v>
      </c>
      <c r="H29" s="20">
        <f>100*($B29-H$3)/H$3</f>
        <v>13.780947392053214</v>
      </c>
      <c r="I29" s="20">
        <f>100*($B29-I$3)/I$3</f>
        <v>12.280712832407824</v>
      </c>
      <c r="J29" s="20">
        <f>100*($B29-J$3)/J$3</f>
        <v>11.330709094790651</v>
      </c>
      <c r="K29" s="20">
        <f>100*($B29-K$3)/K$3</f>
        <v>7.8749924479082214</v>
      </c>
      <c r="L29" s="20">
        <f>100*($B29-L$3)/L$3</f>
        <v>7.1184761456154879</v>
      </c>
      <c r="M29" s="20">
        <f>100*($B29-M$3)/M$3</f>
        <v>6.9323108258999593</v>
      </c>
      <c r="N29" s="20">
        <f>100*($B29-N$3)/N$3</f>
        <v>-11.750925332905922</v>
      </c>
      <c r="O29" s="20">
        <f>100*($B29-O$3)/O$3</f>
        <v>22.298591662107796</v>
      </c>
      <c r="P29" s="20">
        <f>100*($B29-P$3)/P$3</f>
        <v>22.161792342575254</v>
      </c>
      <c r="Q29" s="20">
        <f>100*($B29-Q$3)/Q$3</f>
        <v>24.671966157833651</v>
      </c>
      <c r="R29" s="20">
        <f>100*($B29-R$3)/R$3</f>
        <v>22.883423183417463</v>
      </c>
      <c r="S29" s="20">
        <f>100*($B29-S$3)/S$3</f>
        <v>21.719300478419921</v>
      </c>
      <c r="T29" s="20">
        <f>100*($B29-T$3)/T$3</f>
        <v>19.816393147846711</v>
      </c>
      <c r="U29" s="20">
        <f>100*($B29-U$3)/U$3</f>
        <v>21.011238065664575</v>
      </c>
      <c r="V29" s="20">
        <f>100*($B29-V$3)/V$3</f>
        <v>22.025298719846113</v>
      </c>
      <c r="W29" s="20">
        <f>100*($B29-W$3)/W$3</f>
        <v>20.877301996969866</v>
      </c>
      <c r="X29" s="20">
        <f>100*($B29-X$3)/X$3</f>
        <v>16.524558393451343</v>
      </c>
      <c r="Y29" s="20">
        <f>100*($B29-Y$3)/Y$3</f>
        <v>12.706545257236609</v>
      </c>
      <c r="Z29" s="20">
        <f>100*($B29-Z$3)/Z$3</f>
        <v>11.840903588594225</v>
      </c>
      <c r="AA29" s="20">
        <f>100*($B29-AA$3)/AA$3</f>
        <v>19.685087511520297</v>
      </c>
    </row>
    <row r="30" spans="1:27">
      <c r="A30" s="8" t="str">
        <f>MXenes!A29</f>
        <v>V2TiC2</v>
      </c>
      <c r="B30" s="18">
        <f>MXenes!D29</f>
        <v>3.05</v>
      </c>
      <c r="C30" s="19" t="str">
        <f>MXenes!B29</f>
        <v>ordered DTM</v>
      </c>
      <c r="D30" s="20">
        <f>100*($B30-D$3)/D$3</f>
        <v>22.395827735817377</v>
      </c>
      <c r="E30" s="20">
        <f>100*($B30-E$3)/E$3</f>
        <v>21.687958168423513</v>
      </c>
      <c r="F30" s="20">
        <f>100*($B30-F$3)/F$3</f>
        <v>19.321457446622041</v>
      </c>
      <c r="G30" s="20">
        <f>100*($B30-G$3)/G$3</f>
        <v>13.4077763379592</v>
      </c>
      <c r="H30" s="20">
        <f>100*($B30-H$3)/H$3</f>
        <v>12.344412284157427</v>
      </c>
      <c r="I30" s="20">
        <f>100*($B30-I$3)/I$3</f>
        <v>10.863118853623774</v>
      </c>
      <c r="J30" s="20">
        <f>100*($B30-J$3)/J$3</f>
        <v>9.9251093360671643</v>
      </c>
      <c r="K30" s="20">
        <f>100*($B30-K$3)/K$3</f>
        <v>6.5130226500874269</v>
      </c>
      <c r="L30" s="20">
        <f>100*($B30-L$3)/L$3</f>
        <v>5.7660577028576316</v>
      </c>
      <c r="M30" s="20">
        <f>100*($B30-M$3)/M$3</f>
        <v>5.5822428031708835</v>
      </c>
      <c r="N30" s="20">
        <f>100*($B30-N$3)/N$3</f>
        <v>-12.8651091827009</v>
      </c>
      <c r="O30" s="20">
        <f>100*($B30-O$3)/O$3</f>
        <v>20.754517503861692</v>
      </c>
      <c r="P30" s="20">
        <f>100*($B30-P$3)/P$3</f>
        <v>20.619445336631436</v>
      </c>
      <c r="Q30" s="20">
        <f>100*($B30-Q$3)/Q$3</f>
        <v>23.097927090123868</v>
      </c>
      <c r="R30" s="20">
        <f>100*($B30-R$3)/R$3</f>
        <v>21.331965266890013</v>
      </c>
      <c r="S30" s="20">
        <f>100*($B30-S$3)/S$3</f>
        <v>20.182540129226524</v>
      </c>
      <c r="T30" s="20">
        <f>100*($B30-T$3)/T$3</f>
        <v>18.303657850738897</v>
      </c>
      <c r="U30" s="20">
        <f>100*($B30-U$3)/U$3</f>
        <v>19.483417319610531</v>
      </c>
      <c r="V30" s="20">
        <f>100*($B30-V$3)/V$3</f>
        <v>20.48467500664637</v>
      </c>
      <c r="W30" s="20">
        <f>100*($B30-W$3)/W$3</f>
        <v>19.351172253401771</v>
      </c>
      <c r="X30" s="20">
        <f>100*($B30-X$3)/X$3</f>
        <v>15.05338397540517</v>
      </c>
      <c r="Y30" s="20">
        <f>100*($B30-Y$3)/Y$3</f>
        <v>11.283574954539217</v>
      </c>
      <c r="Z30" s="20">
        <f>100*($B30-Z$3)/Z$3</f>
        <v>10.428862397284679</v>
      </c>
      <c r="AA30" s="20">
        <f>100*($B30-AA$3)/AA$3</f>
        <v>18.174010006518905</v>
      </c>
    </row>
    <row r="31" spans="1:27">
      <c r="A31" s="8" t="str">
        <f>MXenes!A30</f>
        <v>V2TaC2</v>
      </c>
      <c r="B31" s="18">
        <f>MXenes!D30</f>
        <v>3.0910000000000002</v>
      </c>
      <c r="C31" s="19" t="str">
        <f>MXenes!B30</f>
        <v>ordered DTM</v>
      </c>
      <c r="D31" s="20">
        <f>100*($B31-D$3)/D$3</f>
        <v>24.041148698823463</v>
      </c>
      <c r="E31" s="20">
        <f>100*($B31-E$3)/E$3</f>
        <v>23.323763507736764</v>
      </c>
      <c r="F31" s="20">
        <f>100*($B31-F$3)/F$3</f>
        <v>20.925450809019271</v>
      </c>
      <c r="G31" s="20">
        <f>100*($B31-G$3)/G$3</f>
        <v>14.932274314961289</v>
      </c>
      <c r="H31" s="20">
        <f>100*($B31-H$3)/H$3</f>
        <v>13.854615859124802</v>
      </c>
      <c r="I31" s="20">
        <f>100*($B31-I$3)/I$3</f>
        <v>12.35340995952496</v>
      </c>
      <c r="J31" s="20">
        <f>100*($B31-J$3)/J$3</f>
        <v>11.402791133699557</v>
      </c>
      <c r="K31" s="20">
        <f>100*($B31-K$3)/K$3</f>
        <v>7.9448370529246803</v>
      </c>
      <c r="L31" s="20">
        <f>100*($B31-L$3)/L$3</f>
        <v>7.187830937551797</v>
      </c>
      <c r="M31" s="20">
        <f>100*($B31-M$3)/M$3</f>
        <v>7.0015450834758157</v>
      </c>
      <c r="N31" s="20">
        <f>100*($B31-N$3)/N$3</f>
        <v>-11.693787699583098</v>
      </c>
      <c r="O31" s="20">
        <f>100*($B31-O$3)/O$3</f>
        <v>22.377774952274272</v>
      </c>
      <c r="P31" s="20">
        <f>100*($B31-P$3)/P$3</f>
        <v>22.240887060828793</v>
      </c>
      <c r="Q31" s="20">
        <f>100*($B31-Q$3)/Q$3</f>
        <v>24.752686110023909</v>
      </c>
      <c r="R31" s="20">
        <f>100*($B31-R$3)/R$3</f>
        <v>22.962985127854779</v>
      </c>
      <c r="S31" s="20">
        <f>100*($B31-S$3)/S$3</f>
        <v>21.798108701455487</v>
      </c>
      <c r="T31" s="20">
        <f>100*($B31-T$3)/T$3</f>
        <v>19.893969316929169</v>
      </c>
      <c r="U31" s="20">
        <f>100*($B31-U$3)/U$3</f>
        <v>21.089587847513506</v>
      </c>
      <c r="V31" s="20">
        <f>100*($B31-V$3)/V$3</f>
        <v>22.104305064112776</v>
      </c>
      <c r="W31" s="20">
        <f>100*($B31-W$3)/W$3</f>
        <v>20.955565060742597</v>
      </c>
      <c r="X31" s="20">
        <f>100*($B31-X$3)/X$3</f>
        <v>16.600003235402433</v>
      </c>
      <c r="Y31" s="20">
        <f>100*($B31-Y$3)/Y$3</f>
        <v>12.779518093272381</v>
      </c>
      <c r="Z31" s="20">
        <f>100*($B31-Z$3)/Z$3</f>
        <v>11.913315957379339</v>
      </c>
      <c r="AA31" s="20">
        <f>100*($B31-AA$3)/AA$3</f>
        <v>19.762578665622943</v>
      </c>
    </row>
    <row r="32" spans="1:27">
      <c r="A32" s="8" t="str">
        <f>MXenes!A31</f>
        <v>Mo2TiC2O2</v>
      </c>
      <c r="B32" s="18">
        <f>MXenes!D31</f>
        <v>2.9980000000000002</v>
      </c>
      <c r="C32" s="19" t="str">
        <f>MXenes!B31</f>
        <v>ordered DTM</v>
      </c>
      <c r="D32" s="20">
        <f>100*($B32-D$3)/D$3</f>
        <v>20.309079197370671</v>
      </c>
      <c r="E32" s="20">
        <f>100*($B32-E$3)/E$3</f>
        <v>19.613278225879917</v>
      </c>
      <c r="F32" s="20">
        <f>100*($B32-F$3)/F$3</f>
        <v>17.287124401630468</v>
      </c>
      <c r="G32" s="20">
        <f>100*($B32-G$3)/G$3</f>
        <v>11.474266708590731</v>
      </c>
      <c r="H32" s="20">
        <f>100*($B32-H$3)/H$3</f>
        <v>10.429032140296396</v>
      </c>
      <c r="I32" s="20">
        <f>100*($B32-I$3)/I$3</f>
        <v>8.9729935485783994</v>
      </c>
      <c r="J32" s="20">
        <f>100*($B32-J$3)/J$3</f>
        <v>8.0509763244358705</v>
      </c>
      <c r="K32" s="20">
        <f>100*($B32-K$3)/K$3</f>
        <v>4.6970629196597198</v>
      </c>
      <c r="L32" s="20">
        <f>100*($B32-L$3)/L$3</f>
        <v>3.962833112513843</v>
      </c>
      <c r="M32" s="20">
        <f>100*($B32-M$3)/M$3</f>
        <v>3.782152106198803</v>
      </c>
      <c r="N32" s="20">
        <f>100*($B32-N$3)/N$3</f>
        <v>-14.350687649094183</v>
      </c>
      <c r="O32" s="20">
        <f>100*($B32-O$3)/O$3</f>
        <v>18.695751959533574</v>
      </c>
      <c r="P32" s="20">
        <f>100*($B32-P$3)/P$3</f>
        <v>18.562982662039705</v>
      </c>
      <c r="Q32" s="20">
        <f>100*($B32-Q$3)/Q$3</f>
        <v>20.99920833317751</v>
      </c>
      <c r="R32" s="20">
        <f>100*($B32-R$3)/R$3</f>
        <v>19.263354711520101</v>
      </c>
      <c r="S32" s="20">
        <f>100*($B32-S$3)/S$3</f>
        <v>18.133526330302022</v>
      </c>
      <c r="T32" s="20">
        <f>100*($B32-T$3)/T$3</f>
        <v>16.286677454595164</v>
      </c>
      <c r="U32" s="20">
        <f>100*($B32-U$3)/U$3</f>
        <v>17.446322991538498</v>
      </c>
      <c r="V32" s="20">
        <f>100*($B32-V$3)/V$3</f>
        <v>18.430510055713398</v>
      </c>
      <c r="W32" s="20">
        <f>100*($B32-W$3)/W$3</f>
        <v>17.316332595311003</v>
      </c>
      <c r="X32" s="20">
        <f>100*($B32-X$3)/X$3</f>
        <v>13.091818084676966</v>
      </c>
      <c r="Y32" s="20">
        <f>100*($B32-Y$3)/Y$3</f>
        <v>9.3862812176093833</v>
      </c>
      <c r="Z32" s="20">
        <f>100*($B32-Z$3)/Z$3</f>
        <v>8.5461408088719715</v>
      </c>
      <c r="AA32" s="20">
        <f>100*($B32-AA$3)/AA$3</f>
        <v>16.159239999850399</v>
      </c>
    </row>
    <row r="33" spans="1:27">
      <c r="A33" s="8" t="str">
        <f>MXenes!A32</f>
        <v>Cr2TiC2O2</v>
      </c>
      <c r="B33" s="18">
        <f>MXenes!D32</f>
        <v>2.907</v>
      </c>
      <c r="C33" s="19" t="str">
        <f>MXenes!B32</f>
        <v>ordered DTM</v>
      </c>
      <c r="D33" s="20">
        <f>100*($B33-D$3)/D$3</f>
        <v>16.657269255088902</v>
      </c>
      <c r="E33" s="20">
        <f>100*($B33-E$3)/E$3</f>
        <v>15.982588326428585</v>
      </c>
      <c r="F33" s="20">
        <f>100*($B33-F$3)/F$3</f>
        <v>13.727041572895182</v>
      </c>
      <c r="G33" s="20">
        <f>100*($B33-G$3)/G$3</f>
        <v>8.0906248571958752</v>
      </c>
      <c r="H33" s="20">
        <f>100*($B33-H$3)/H$3</f>
        <v>7.0771168885395603</v>
      </c>
      <c r="I33" s="20">
        <f>100*($B33-I$3)/I$3</f>
        <v>5.6652742647489625</v>
      </c>
      <c r="J33" s="20">
        <f>100*($B33-J$3)/J$3</f>
        <v>4.7712435540810718</v>
      </c>
      <c r="K33" s="20">
        <f>100*($B33-K$3)/K$3</f>
        <v>1.5191333914112031</v>
      </c>
      <c r="L33" s="20">
        <f>100*($B33-L$3)/L$3</f>
        <v>0.80719007941218213</v>
      </c>
      <c r="M33" s="20">
        <f>100*($B33-M$3)/M$3</f>
        <v>0.63199338649763215</v>
      </c>
      <c r="N33" s="20">
        <f>100*($B33-N$3)/N$3</f>
        <v>-16.950449965282456</v>
      </c>
      <c r="O33" s="20">
        <f>100*($B33-O$3)/O$3</f>
        <v>15.09291225695933</v>
      </c>
      <c r="P33" s="20">
        <f>100*($B33-P$3)/P$3</f>
        <v>14.964172981504134</v>
      </c>
      <c r="Q33" s="20">
        <f>100*($B33-Q$3)/Q$3</f>
        <v>17.326450508521344</v>
      </c>
      <c r="R33" s="20">
        <f>100*($B33-R$3)/R$3</f>
        <v>15.643286239622718</v>
      </c>
      <c r="S33" s="20">
        <f>100*($B33-S$3)/S$3</f>
        <v>14.547752182184109</v>
      </c>
      <c r="T33" s="20">
        <f>100*($B33-T$3)/T$3</f>
        <v>12.756961761343605</v>
      </c>
      <c r="U33" s="20">
        <f>100*($B33-U$3)/U$3</f>
        <v>13.881407917412407</v>
      </c>
      <c r="V33" s="20">
        <f>100*($B33-V$3)/V$3</f>
        <v>14.835721391580659</v>
      </c>
      <c r="W33" s="20">
        <f>100*($B33-W$3)/W$3</f>
        <v>13.755363193652123</v>
      </c>
      <c r="X33" s="20">
        <f>100*($B33-X$3)/X$3</f>
        <v>9.6590777759025759</v>
      </c>
      <c r="Y33" s="20">
        <f>100*($B33-Y$3)/Y$3</f>
        <v>6.0660171779821406</v>
      </c>
      <c r="Z33" s="20">
        <f>100*($B33-Z$3)/Z$3</f>
        <v>5.2513780291497003</v>
      </c>
      <c r="AA33" s="20">
        <f>100*($B33-AA$3)/AA$3</f>
        <v>12.633392488180483</v>
      </c>
    </row>
    <row r="34" spans="1:27">
      <c r="A34" s="8" t="str">
        <f>MXenes!A33</f>
        <v>Mo2ScC2O2</v>
      </c>
      <c r="B34" s="18">
        <f>MXenes!D33</f>
        <v>3.0430000000000001</v>
      </c>
      <c r="C34" s="19" t="str">
        <f>MXenes!B33</f>
        <v>ordered DTM</v>
      </c>
      <c r="D34" s="20">
        <f>100*($B34-D$3)/D$3</f>
        <v>22.114919278718794</v>
      </c>
      <c r="E34" s="20">
        <f>100*($B34-E$3)/E$3</f>
        <v>21.408674330004196</v>
      </c>
      <c r="F34" s="20">
        <f>100*($B34-F$3)/F$3</f>
        <v>19.047604921334727</v>
      </c>
      <c r="G34" s="20">
        <f>100*($B34-G$3)/G$3</f>
        <v>13.147496195544225</v>
      </c>
      <c r="H34" s="20">
        <f>100*($B34-H$3)/H$3</f>
        <v>12.086572649406913</v>
      </c>
      <c r="I34" s="20">
        <f>100*($B34-I$3)/I$3</f>
        <v>10.608678908713831</v>
      </c>
      <c r="J34" s="20">
        <f>100*($B34-J$3)/J$3</f>
        <v>9.6728221998860384</v>
      </c>
      <c r="K34" s="20">
        <f>100*($B34-K$3)/K$3</f>
        <v>6.268566532529861</v>
      </c>
      <c r="L34" s="20">
        <f>100*($B34-L$3)/L$3</f>
        <v>5.5233159310805924</v>
      </c>
      <c r="M34" s="20">
        <f>100*($B34-M$3)/M$3</f>
        <v>5.3399229016554202</v>
      </c>
      <c r="N34" s="20">
        <f>100*($B34-N$3)/N$3</f>
        <v>-13.065090899330757</v>
      </c>
      <c r="O34" s="20">
        <f>100*($B34-O$3)/O$3</f>
        <v>20.477375988279071</v>
      </c>
      <c r="P34" s="20">
        <f>100*($B34-P$3)/P$3</f>
        <v>20.342613822744095</v>
      </c>
      <c r="Q34" s="20">
        <f>100*($B34-Q$3)/Q$3</f>
        <v>22.81540725745802</v>
      </c>
      <c r="R34" s="20">
        <f>100*($B34-R$3)/R$3</f>
        <v>21.053498461359457</v>
      </c>
      <c r="S34" s="20">
        <f>100*($B34-S$3)/S$3</f>
        <v>19.906711348602084</v>
      </c>
      <c r="T34" s="20">
        <f>100*($B34-T$3)/T$3</f>
        <v>18.032141258950329</v>
      </c>
      <c r="U34" s="20">
        <f>100*($B34-U$3)/U$3</f>
        <v>19.209193083139308</v>
      </c>
      <c r="V34" s="20">
        <f>100*($B34-V$3)/V$3</f>
        <v>20.208152801713094</v>
      </c>
      <c r="W34" s="20">
        <f>100*($B34-W$3)/W$3</f>
        <v>19.077251530197255</v>
      </c>
      <c r="X34" s="20">
        <f>100*($B34-X$3)/X$3</f>
        <v>14.789327028576386</v>
      </c>
      <c r="Y34" s="20">
        <f>100*($B34-Y$3)/Y$3</f>
        <v>11.028170028414056</v>
      </c>
      <c r="Z34" s="20">
        <f>100*($B34-Z$3)/Z$3</f>
        <v>10.175419106536824</v>
      </c>
      <c r="AA34" s="20">
        <f>100*($B34-AA$3)/AA$3</f>
        <v>17.902790967159692</v>
      </c>
    </row>
    <row r="35" spans="1:27">
      <c r="A35" s="8" t="str">
        <f>MXenes!A34</f>
        <v>Cr2VC2O2</v>
      </c>
      <c r="B35" s="18">
        <f>MXenes!D34</f>
        <v>2.9020000000000001</v>
      </c>
      <c r="C35" s="19" t="str">
        <f>MXenes!B34</f>
        <v>ordered DTM</v>
      </c>
      <c r="D35" s="20">
        <f>100*($B35-D$3)/D$3</f>
        <v>16.456620357161334</v>
      </c>
      <c r="E35" s="20">
        <f>100*($B35-E$3)/E$3</f>
        <v>15.783099870414778</v>
      </c>
      <c r="F35" s="20">
        <f>100*($B35-F$3)/F$3</f>
        <v>13.531432626261379</v>
      </c>
      <c r="G35" s="20">
        <f>100*($B35-G$3)/G$3</f>
        <v>7.9047104697566022</v>
      </c>
      <c r="H35" s="20">
        <f>100*($B35-H$3)/H$3</f>
        <v>6.8929457208606175</v>
      </c>
      <c r="I35" s="20">
        <f>100*($B35-I$3)/I$3</f>
        <v>5.4835314469561407</v>
      </c>
      <c r="J35" s="20">
        <f>100*($B35-J$3)/J$3</f>
        <v>4.5910384568088345</v>
      </c>
      <c r="K35" s="20">
        <f>100*($B35-K$3)/K$3</f>
        <v>1.3445218788700797</v>
      </c>
      <c r="L35" s="20">
        <f>100*($B35-L$3)/L$3</f>
        <v>0.63380309957143566</v>
      </c>
      <c r="M35" s="20">
        <f>100*($B35-M$3)/M$3</f>
        <v>0.45890774255801148</v>
      </c>
      <c r="N35" s="20">
        <f>100*($B35-N$3)/N$3</f>
        <v>-17.093294048589502</v>
      </c>
      <c r="O35" s="20">
        <f>100*($B35-O$3)/O$3</f>
        <v>14.894954031543168</v>
      </c>
      <c r="P35" s="20">
        <f>100*($B35-P$3)/P$3</f>
        <v>14.766436185870317</v>
      </c>
      <c r="Q35" s="20">
        <f>100*($B35-Q$3)/Q$3</f>
        <v>17.124650628045739</v>
      </c>
      <c r="R35" s="20">
        <f>100*($B35-R$3)/R$3</f>
        <v>15.44438137852946</v>
      </c>
      <c r="S35" s="20">
        <f>100*($B35-S$3)/S$3</f>
        <v>14.350731624595216</v>
      </c>
      <c r="T35" s="20">
        <f>100*($B35-T$3)/T$3</f>
        <v>12.56302133863748</v>
      </c>
      <c r="U35" s="20">
        <f>100*($B35-U$3)/U$3</f>
        <v>13.685533462790097</v>
      </c>
      <c r="V35" s="20">
        <f>100*($B35-V$3)/V$3</f>
        <v>14.638205530914032</v>
      </c>
      <c r="W35" s="20">
        <f>100*($B35-W$3)/W$3</f>
        <v>13.559705534220321</v>
      </c>
      <c r="X35" s="20">
        <f>100*($B35-X$3)/X$3</f>
        <v>9.4704656710248667</v>
      </c>
      <c r="Y35" s="20">
        <f>100*($B35-Y$3)/Y$3</f>
        <v>5.8835850878927349</v>
      </c>
      <c r="Z35" s="20">
        <f>100*($B35-Z$3)/Z$3</f>
        <v>5.0703471071869419</v>
      </c>
      <c r="AA35" s="20">
        <f>100*($B35-AA$3)/AA$3</f>
        <v>12.439664602923902</v>
      </c>
    </row>
    <row r="36" spans="1:27">
      <c r="A36" s="8" t="str">
        <f>MXenes!A35</f>
        <v>Ti2VCNO2</v>
      </c>
      <c r="B36" s="18">
        <f>MXenes!D35</f>
        <v>2.98</v>
      </c>
      <c r="C36" s="19" t="str">
        <f>MXenes!B35</f>
        <v>ordered carbonitride</v>
      </c>
      <c r="D36" s="20">
        <f>100*($B36-D$3)/D$3</f>
        <v>19.586743164831411</v>
      </c>
      <c r="E36" s="20">
        <f>100*($B36-E$3)/E$3</f>
        <v>18.895119784230197</v>
      </c>
      <c r="F36" s="20">
        <f>100*($B36-F$3)/F$3</f>
        <v>16.582932193748757</v>
      </c>
      <c r="G36" s="20">
        <f>100*($B36-G$3)/G$3</f>
        <v>10.804974913809323</v>
      </c>
      <c r="H36" s="20">
        <f>100*($B36-H$3)/H$3</f>
        <v>9.7660159366521793</v>
      </c>
      <c r="I36" s="20">
        <f>100*($B36-I$3)/I$3</f>
        <v>8.3187194045242183</v>
      </c>
      <c r="J36" s="20">
        <f>100*($B36-J$3)/J$3</f>
        <v>7.402237974255792</v>
      </c>
      <c r="K36" s="20">
        <f>100*($B36-K$3)/K$3</f>
        <v>4.068461474511655</v>
      </c>
      <c r="L36" s="20">
        <f>100*($B36-L$3)/L$3</f>
        <v>3.3386399850871338</v>
      </c>
      <c r="M36" s="20">
        <f>100*($B36-M$3)/M$3</f>
        <v>3.159043788016147</v>
      </c>
      <c r="N36" s="20">
        <f>100*($B36-N$3)/N$3</f>
        <v>-14.864926348999564</v>
      </c>
      <c r="O36" s="20">
        <f>100*($B36-O$3)/O$3</f>
        <v>17.983102348035363</v>
      </c>
      <c r="P36" s="20">
        <f>100*($B36-P$3)/P$3</f>
        <v>17.851130197757936</v>
      </c>
      <c r="Q36" s="20">
        <f>100*($B36-Q$3)/Q$3</f>
        <v>20.272728763465292</v>
      </c>
      <c r="R36" s="20">
        <f>100*($B36-R$3)/R$3</f>
        <v>18.547297211584347</v>
      </c>
      <c r="S36" s="20">
        <f>100*($B36-S$3)/S$3</f>
        <v>17.424252322981985</v>
      </c>
      <c r="T36" s="20">
        <f>100*($B36-T$3)/T$3</f>
        <v>15.588491932853094</v>
      </c>
      <c r="U36" s="20">
        <f>100*($B36-U$3)/U$3</f>
        <v>16.741174954898163</v>
      </c>
      <c r="V36" s="20">
        <f>100*($B36-V$3)/V$3</f>
        <v>17.719452957313507</v>
      </c>
      <c r="W36" s="20">
        <f>100*($B36-W$3)/W$3</f>
        <v>16.61196502135649</v>
      </c>
      <c r="X36" s="20">
        <f>100*($B36-X$3)/X$3</f>
        <v>12.41281450711719</v>
      </c>
      <c r="Y36" s="20">
        <f>100*($B36-Y$3)/Y$3</f>
        <v>8.7295256932875045</v>
      </c>
      <c r="Z36" s="20">
        <f>100*($B36-Z$3)/Z$3</f>
        <v>7.8944294898060203</v>
      </c>
      <c r="AA36" s="20">
        <f>100*($B36-AA$3)/AA$3</f>
        <v>15.461819612926673</v>
      </c>
    </row>
    <row r="37" spans="1:27">
      <c r="A37" s="8" t="str">
        <f>MXenes!A36</f>
        <v>Ti2NbCNO2</v>
      </c>
      <c r="B37" s="18">
        <f>MXenes!D36</f>
        <v>3.04</v>
      </c>
      <c r="C37" s="19" t="str">
        <f>MXenes!B36</f>
        <v>ordered carbonitride</v>
      </c>
      <c r="D37" s="20">
        <f>100*($B37-D$3)/D$3</f>
        <v>21.994529939962248</v>
      </c>
      <c r="E37" s="20">
        <f>100*($B37-E$3)/E$3</f>
        <v>21.288981256395903</v>
      </c>
      <c r="F37" s="20">
        <f>100*($B37-F$3)/F$3</f>
        <v>18.930239553354436</v>
      </c>
      <c r="G37" s="20">
        <f>100*($B37-G$3)/G$3</f>
        <v>13.035947563080654</v>
      </c>
      <c r="H37" s="20">
        <f>100*($B37-H$3)/H$3</f>
        <v>11.976069948799541</v>
      </c>
      <c r="I37" s="20">
        <f>100*($B37-I$3)/I$3</f>
        <v>10.499633218038131</v>
      </c>
      <c r="J37" s="20">
        <f>100*($B37-J$3)/J$3</f>
        <v>9.5646991415226896</v>
      </c>
      <c r="K37" s="20">
        <f>100*($B37-K$3)/K$3</f>
        <v>6.1637996250051801</v>
      </c>
      <c r="L37" s="20">
        <f>100*($B37-L$3)/L$3</f>
        <v>5.4192837431761385</v>
      </c>
      <c r="M37" s="20">
        <f>100*($B37-M$3)/M$3</f>
        <v>5.2360715152916413</v>
      </c>
      <c r="N37" s="20">
        <f>100*($B37-N$3)/N$3</f>
        <v>-13.150797349314988</v>
      </c>
      <c r="O37" s="20">
        <f>100*($B37-O$3)/O$3</f>
        <v>20.358601053029364</v>
      </c>
      <c r="P37" s="20">
        <f>100*($B37-P$3)/P$3</f>
        <v>20.223971745363798</v>
      </c>
      <c r="Q37" s="20">
        <f>100*($B37-Q$3)/Q$3</f>
        <v>22.694327329172648</v>
      </c>
      <c r="R37" s="20">
        <f>100*($B37-R$3)/R$3</f>
        <v>20.934155544703493</v>
      </c>
      <c r="S37" s="20">
        <f>100*($B37-S$3)/S$3</f>
        <v>19.788499014048739</v>
      </c>
      <c r="T37" s="20">
        <f>100*($B37-T$3)/T$3</f>
        <v>17.915777005326646</v>
      </c>
      <c r="U37" s="20">
        <f>100*($B37-U$3)/U$3</f>
        <v>19.091668410365916</v>
      </c>
      <c r="V37" s="20">
        <f>100*($B37-V$3)/V$3</f>
        <v>20.089643285313109</v>
      </c>
      <c r="W37" s="20">
        <f>100*($B37-W$3)/W$3</f>
        <v>18.95985693453817</v>
      </c>
      <c r="X37" s="20">
        <f>100*($B37-X$3)/X$3</f>
        <v>14.676159765649754</v>
      </c>
      <c r="Y37" s="20">
        <f>100*($B37-Y$3)/Y$3</f>
        <v>10.918710774360408</v>
      </c>
      <c r="Z37" s="20">
        <f>100*($B37-Z$3)/Z$3</f>
        <v>10.066800553359164</v>
      </c>
      <c r="AA37" s="20">
        <f>100*($B37-AA$3)/AA$3</f>
        <v>17.786554236005735</v>
      </c>
    </row>
    <row r="38" spans="1:27">
      <c r="A38" s="8" t="str">
        <f>MXenes!A37</f>
        <v>Ti2MoCNO2</v>
      </c>
      <c r="B38" s="18">
        <f>MXenes!D37</f>
        <v>3</v>
      </c>
      <c r="C38" s="19" t="str">
        <f>MXenes!B37</f>
        <v>ordered carbonitride</v>
      </c>
      <c r="D38" s="20">
        <f>100*($B38-D$3)/D$3</f>
        <v>20.389338756541694</v>
      </c>
      <c r="E38" s="20">
        <f>100*($B38-E$3)/E$3</f>
        <v>19.693073608285431</v>
      </c>
      <c r="F38" s="20">
        <f>100*($B38-F$3)/F$3</f>
        <v>17.365367980283985</v>
      </c>
      <c r="G38" s="20">
        <f>100*($B38-G$3)/G$3</f>
        <v>11.548632463566433</v>
      </c>
      <c r="H38" s="20">
        <f>100*($B38-H$3)/H$3</f>
        <v>10.502700607367967</v>
      </c>
      <c r="I38" s="20">
        <f>100*($B38-I$3)/I$3</f>
        <v>9.0456906756955231</v>
      </c>
      <c r="J38" s="20">
        <f>100*($B38-J$3)/J$3</f>
        <v>8.1230583633447591</v>
      </c>
      <c r="K38" s="20">
        <f>100*($B38-K$3)/K$3</f>
        <v>4.7669075246761627</v>
      </c>
      <c r="L38" s="20">
        <f>100*($B38-L$3)/L$3</f>
        <v>4.0321879044501356</v>
      </c>
      <c r="M38" s="20">
        <f>100*($B38-M$3)/M$3</f>
        <v>3.8513863637746453</v>
      </c>
      <c r="N38" s="20">
        <f>100*($B38-N$3)/N$3</f>
        <v>-14.29355001577137</v>
      </c>
      <c r="O38" s="20">
        <f>100*($B38-O$3)/O$3</f>
        <v>18.774935249700029</v>
      </c>
      <c r="P38" s="20">
        <f>100*($B38-P$3)/P$3</f>
        <v>18.642077380293223</v>
      </c>
      <c r="Q38" s="20">
        <f>100*($B38-Q$3)/Q$3</f>
        <v>21.079928285367743</v>
      </c>
      <c r="R38" s="20">
        <f>100*($B38-R$3)/R$3</f>
        <v>19.342916655957396</v>
      </c>
      <c r="S38" s="20">
        <f>100*($B38-S$3)/S$3</f>
        <v>18.212334553337573</v>
      </c>
      <c r="T38" s="20">
        <f>100*($B38-T$3)/T$3</f>
        <v>16.364253623677609</v>
      </c>
      <c r="U38" s="20">
        <f>100*($B38-U$3)/U$3</f>
        <v>17.524672773387415</v>
      </c>
      <c r="V38" s="20">
        <f>100*($B38-V$3)/V$3</f>
        <v>18.50951639998004</v>
      </c>
      <c r="W38" s="20">
        <f>100*($B38-W$3)/W$3</f>
        <v>17.394595659083716</v>
      </c>
      <c r="X38" s="20">
        <f>100*($B38-X$3)/X$3</f>
        <v>13.167262926628045</v>
      </c>
      <c r="Y38" s="20">
        <f>100*($B38-Y$3)/Y$3</f>
        <v>9.4592540536451395</v>
      </c>
      <c r="Z38" s="20">
        <f>100*($B38-Z$3)/Z$3</f>
        <v>8.6185531776570681</v>
      </c>
      <c r="AA38" s="20">
        <f>100*($B38-AA$3)/AA$3</f>
        <v>16.236731153953027</v>
      </c>
    </row>
    <row r="39" spans="1:27">
      <c r="A39" s="8" t="str">
        <f>MXenes!A38</f>
        <v>Ti2TaCNO2</v>
      </c>
      <c r="B39" s="18">
        <f>MXenes!D38</f>
        <v>3.04</v>
      </c>
      <c r="C39" s="19" t="str">
        <f>MXenes!B38</f>
        <v>ordered carbonitride</v>
      </c>
      <c r="D39" s="20">
        <f>100*($B39-D$3)/D$3</f>
        <v>21.994529939962248</v>
      </c>
      <c r="E39" s="20">
        <f>100*($B39-E$3)/E$3</f>
        <v>21.288981256395903</v>
      </c>
      <c r="F39" s="20">
        <f>100*($B39-F$3)/F$3</f>
        <v>18.930239553354436</v>
      </c>
      <c r="G39" s="20">
        <f>100*($B39-G$3)/G$3</f>
        <v>13.035947563080654</v>
      </c>
      <c r="H39" s="20">
        <f>100*($B39-H$3)/H$3</f>
        <v>11.976069948799541</v>
      </c>
      <c r="I39" s="20">
        <f>100*($B39-I$3)/I$3</f>
        <v>10.499633218038131</v>
      </c>
      <c r="J39" s="20">
        <f>100*($B39-J$3)/J$3</f>
        <v>9.5646991415226896</v>
      </c>
      <c r="K39" s="20">
        <f>100*($B39-K$3)/K$3</f>
        <v>6.1637996250051801</v>
      </c>
      <c r="L39" s="20">
        <f>100*($B39-L$3)/L$3</f>
        <v>5.4192837431761385</v>
      </c>
      <c r="M39" s="20">
        <f>100*($B39-M$3)/M$3</f>
        <v>5.2360715152916413</v>
      </c>
      <c r="N39" s="20">
        <f>100*($B39-N$3)/N$3</f>
        <v>-13.150797349314988</v>
      </c>
      <c r="O39" s="20">
        <f>100*($B39-O$3)/O$3</f>
        <v>20.358601053029364</v>
      </c>
      <c r="P39" s="20">
        <f>100*($B39-P$3)/P$3</f>
        <v>20.223971745363798</v>
      </c>
      <c r="Q39" s="20">
        <f>100*($B39-Q$3)/Q$3</f>
        <v>22.694327329172648</v>
      </c>
      <c r="R39" s="20">
        <f>100*($B39-R$3)/R$3</f>
        <v>20.934155544703493</v>
      </c>
      <c r="S39" s="20">
        <f>100*($B39-S$3)/S$3</f>
        <v>19.788499014048739</v>
      </c>
      <c r="T39" s="20">
        <f>100*($B39-T$3)/T$3</f>
        <v>17.915777005326646</v>
      </c>
      <c r="U39" s="20">
        <f>100*($B39-U$3)/U$3</f>
        <v>19.091668410365916</v>
      </c>
      <c r="V39" s="20">
        <f>100*($B39-V$3)/V$3</f>
        <v>20.089643285313109</v>
      </c>
      <c r="W39" s="20">
        <f>100*($B39-W$3)/W$3</f>
        <v>18.95985693453817</v>
      </c>
      <c r="X39" s="20">
        <f>100*($B39-X$3)/X$3</f>
        <v>14.676159765649754</v>
      </c>
      <c r="Y39" s="20">
        <f>100*($B39-Y$3)/Y$3</f>
        <v>10.918710774360408</v>
      </c>
      <c r="Z39" s="20">
        <f>100*($B39-Z$3)/Z$3</f>
        <v>10.066800553359164</v>
      </c>
      <c r="AA39" s="20">
        <f>100*($B39-AA$3)/AA$3</f>
        <v>17.786554236005735</v>
      </c>
    </row>
    <row r="40" spans="1:27">
      <c r="A40" s="8" t="str">
        <f>MXenes!A39</f>
        <v>V2TiCNO2</v>
      </c>
      <c r="B40" s="18">
        <f>MXenes!D39</f>
        <v>2.9</v>
      </c>
      <c r="C40" s="19" t="str">
        <f>MXenes!B39</f>
        <v>ordered carbonitride</v>
      </c>
      <c r="D40" s="20">
        <f>100*($B40-D$3)/D$3</f>
        <v>16.376360797990298</v>
      </c>
      <c r="E40" s="20">
        <f>100*($B40-E$3)/E$3</f>
        <v>15.703304488009246</v>
      </c>
      <c r="F40" s="20">
        <f>100*($B40-F$3)/F$3</f>
        <v>13.453189047607847</v>
      </c>
      <c r="G40" s="20">
        <f>100*($B40-G$3)/G$3</f>
        <v>7.8303447147808818</v>
      </c>
      <c r="H40" s="20">
        <f>100*($B40-H$3)/H$3</f>
        <v>6.8192772537890303</v>
      </c>
      <c r="I40" s="20">
        <f>100*($B40-I$3)/I$3</f>
        <v>5.4108343198390028</v>
      </c>
      <c r="J40" s="20">
        <f>100*($B40-J$3)/J$3</f>
        <v>4.51895641789993</v>
      </c>
      <c r="K40" s="20">
        <f>100*($B40-K$3)/K$3</f>
        <v>1.2746772738536212</v>
      </c>
      <c r="L40" s="20">
        <f>100*($B40-L$3)/L$3</f>
        <v>0.56444830763512777</v>
      </c>
      <c r="M40" s="20">
        <f>100*($B40-M$3)/M$3</f>
        <v>0.38967348498215393</v>
      </c>
      <c r="N40" s="20">
        <f>100*($B40-N$3)/N$3</f>
        <v>-17.150431681912327</v>
      </c>
      <c r="O40" s="20">
        <f>100*($B40-O$3)/O$3</f>
        <v>14.815770741376692</v>
      </c>
      <c r="P40" s="20">
        <f>100*($B40-P$3)/P$3</f>
        <v>14.687341467616779</v>
      </c>
      <c r="Q40" s="20">
        <f>100*($B40-Q$3)/Q$3</f>
        <v>17.043930675855481</v>
      </c>
      <c r="R40" s="20">
        <f>100*($B40-R$3)/R$3</f>
        <v>15.364819434092146</v>
      </c>
      <c r="S40" s="20">
        <f>100*($B40-S$3)/S$3</f>
        <v>14.271923401559651</v>
      </c>
      <c r="T40" s="20">
        <f>100*($B40-T$3)/T$3</f>
        <v>12.485445169555017</v>
      </c>
      <c r="U40" s="20">
        <f>100*($B40-U$3)/U$3</f>
        <v>13.607183680941166</v>
      </c>
      <c r="V40" s="20">
        <f>100*($B40-V$3)/V$3</f>
        <v>14.559199186647369</v>
      </c>
      <c r="W40" s="20">
        <f>100*($B40-W$3)/W$3</f>
        <v>13.48144247044759</v>
      </c>
      <c r="X40" s="20">
        <f>100*($B40-X$3)/X$3</f>
        <v>9.3950208290737738</v>
      </c>
      <c r="Y40" s="20">
        <f>100*($B40-Y$3)/Y$3</f>
        <v>5.8106122518569636</v>
      </c>
      <c r="Z40" s="20">
        <f>100*($B40-Z$3)/Z$3</f>
        <v>4.9979347384018293</v>
      </c>
      <c r="AA40" s="20">
        <f>100*($B40-AA$3)/AA$3</f>
        <v>12.362173448821256</v>
      </c>
    </row>
    <row r="41" spans="1:27">
      <c r="A41" s="8" t="str">
        <f>MXenes!A40</f>
        <v>Nb2TiCNO2</v>
      </c>
      <c r="B41" s="18">
        <f>MXenes!D40</f>
        <v>3.05</v>
      </c>
      <c r="C41" s="19" t="str">
        <f>MXenes!B40</f>
        <v>ordered carbonitride</v>
      </c>
      <c r="D41" s="20">
        <f>100*($B41-D$3)/D$3</f>
        <v>22.395827735817377</v>
      </c>
      <c r="E41" s="20">
        <f>100*($B41-E$3)/E$3</f>
        <v>21.687958168423513</v>
      </c>
      <c r="F41" s="20">
        <f>100*($B41-F$3)/F$3</f>
        <v>19.321457446622041</v>
      </c>
      <c r="G41" s="20">
        <f>100*($B41-G$3)/G$3</f>
        <v>13.4077763379592</v>
      </c>
      <c r="H41" s="20">
        <f>100*($B41-H$3)/H$3</f>
        <v>12.344412284157427</v>
      </c>
      <c r="I41" s="20">
        <f>100*($B41-I$3)/I$3</f>
        <v>10.863118853623774</v>
      </c>
      <c r="J41" s="20">
        <f>100*($B41-J$3)/J$3</f>
        <v>9.9251093360671643</v>
      </c>
      <c r="K41" s="20">
        <f>100*($B41-K$3)/K$3</f>
        <v>6.5130226500874269</v>
      </c>
      <c r="L41" s="20">
        <f>100*($B41-L$3)/L$3</f>
        <v>5.7660577028576316</v>
      </c>
      <c r="M41" s="20">
        <f>100*($B41-M$3)/M$3</f>
        <v>5.5822428031708835</v>
      </c>
      <c r="N41" s="20">
        <f>100*($B41-N$3)/N$3</f>
        <v>-12.8651091827009</v>
      </c>
      <c r="O41" s="20">
        <f>100*($B41-O$3)/O$3</f>
        <v>20.754517503861692</v>
      </c>
      <c r="P41" s="20">
        <f>100*($B41-P$3)/P$3</f>
        <v>20.619445336631436</v>
      </c>
      <c r="Q41" s="20">
        <f>100*($B41-Q$3)/Q$3</f>
        <v>23.097927090123868</v>
      </c>
      <c r="R41" s="20">
        <f>100*($B41-R$3)/R$3</f>
        <v>21.331965266890013</v>
      </c>
      <c r="S41" s="20">
        <f>100*($B41-S$3)/S$3</f>
        <v>20.182540129226524</v>
      </c>
      <c r="T41" s="20">
        <f>100*($B41-T$3)/T$3</f>
        <v>18.303657850738897</v>
      </c>
      <c r="U41" s="20">
        <f>100*($B41-U$3)/U$3</f>
        <v>19.483417319610531</v>
      </c>
      <c r="V41" s="20">
        <f>100*($B41-V$3)/V$3</f>
        <v>20.48467500664637</v>
      </c>
      <c r="W41" s="20">
        <f>100*($B41-W$3)/W$3</f>
        <v>19.351172253401771</v>
      </c>
      <c r="X41" s="20">
        <f>100*($B41-X$3)/X$3</f>
        <v>15.05338397540517</v>
      </c>
      <c r="Y41" s="20">
        <f>100*($B41-Y$3)/Y$3</f>
        <v>11.283574954539217</v>
      </c>
      <c r="Z41" s="20">
        <f>100*($B41-Z$3)/Z$3</f>
        <v>10.428862397284679</v>
      </c>
      <c r="AA41" s="20">
        <f>100*($B41-AA$3)/AA$3</f>
        <v>18.174010006518905</v>
      </c>
    </row>
    <row r="42" spans="1:27">
      <c r="A42" s="8" t="str">
        <f>MXenes!A41</f>
        <v>Zr2NbCNO2</v>
      </c>
      <c r="B42" s="18">
        <f>MXenes!D41</f>
        <v>3.22</v>
      </c>
      <c r="C42" s="19" t="str">
        <f>MXenes!B41</f>
        <v>ordered carbonitride</v>
      </c>
      <c r="D42" s="20">
        <f>100*($B42-D$3)/D$3</f>
        <v>29.217890265354754</v>
      </c>
      <c r="E42" s="20">
        <f>100*($B42-E$3)/E$3</f>
        <v>28.470565672893038</v>
      </c>
      <c r="F42" s="20">
        <f>100*($B42-F$3)/F$3</f>
        <v>25.972161632171481</v>
      </c>
      <c r="G42" s="20">
        <f>100*($B42-G$3)/G$3</f>
        <v>19.728865510894646</v>
      </c>
      <c r="H42" s="20">
        <f>100*($B42-H$3)/H$3</f>
        <v>18.606231985241624</v>
      </c>
      <c r="I42" s="20">
        <f>100*($B42-I$3)/I$3</f>
        <v>17.04237465857987</v>
      </c>
      <c r="J42" s="20">
        <f>100*($B42-J$3)/J$3</f>
        <v>16.052082643323381</v>
      </c>
      <c r="K42" s="20">
        <f>100*($B42-K$3)/K$3</f>
        <v>12.449814076485755</v>
      </c>
      <c r="L42" s="20">
        <f>100*($B42-L$3)/L$3</f>
        <v>11.661215017443151</v>
      </c>
      <c r="M42" s="20">
        <f>100*($B42-M$3)/M$3</f>
        <v>11.467154697118126</v>
      </c>
      <c r="N42" s="20">
        <f>100*($B42-N$3)/N$3</f>
        <v>-8.0084103502612667</v>
      </c>
      <c r="O42" s="20">
        <f>100*($B42-O$3)/O$3</f>
        <v>27.485097168011372</v>
      </c>
      <c r="P42" s="20">
        <f>100*($B42-P$3)/P$3</f>
        <v>27.342496388181399</v>
      </c>
      <c r="Q42" s="20">
        <f>100*($B42-Q$3)/Q$3</f>
        <v>29.959123026294716</v>
      </c>
      <c r="R42" s="20">
        <f>100*($B42-R$3)/R$3</f>
        <v>28.094730544060944</v>
      </c>
      <c r="S42" s="20">
        <f>100*($B42-S$3)/S$3</f>
        <v>26.881239087249003</v>
      </c>
      <c r="T42" s="20">
        <f>100*($B42-T$3)/T$3</f>
        <v>24.897632222747308</v>
      </c>
      <c r="U42" s="20">
        <f>100*($B42-U$3)/U$3</f>
        <v>26.143148776769166</v>
      </c>
      <c r="V42" s="20">
        <f>100*($B42-V$3)/V$3</f>
        <v>27.200214269311921</v>
      </c>
      <c r="W42" s="20">
        <f>100*($B42-W$3)/W$3</f>
        <v>26.003532674083196</v>
      </c>
      <c r="X42" s="20">
        <f>100*($B42-X$3)/X$3</f>
        <v>21.466195541247444</v>
      </c>
      <c r="Y42" s="20">
        <f>100*($B42-Y$3)/Y$3</f>
        <v>17.486266017579123</v>
      </c>
      <c r="Z42" s="20">
        <f>100*($B42-Z$3)/Z$3</f>
        <v>16.583913744018592</v>
      </c>
      <c r="AA42" s="20">
        <f>100*($B42-AA$3)/AA$3</f>
        <v>24.760758105242925</v>
      </c>
    </row>
    <row r="43" spans="1:27">
      <c r="A43" s="8" t="str">
        <f>MXenes!A42</f>
        <v>Mo2TiCNO2</v>
      </c>
      <c r="B43" s="18">
        <f>MXenes!D42</f>
        <v>2.91</v>
      </c>
      <c r="C43" s="19" t="str">
        <f>MXenes!B42</f>
        <v>ordered carbonitride</v>
      </c>
      <c r="D43" s="20">
        <f>100*($B43-D$3)/D$3</f>
        <v>16.777658593845448</v>
      </c>
      <c r="E43" s="20">
        <f>100*($B43-E$3)/E$3</f>
        <v>16.102281400036876</v>
      </c>
      <c r="F43" s="20">
        <f>100*($B43-F$3)/F$3</f>
        <v>13.844406940875471</v>
      </c>
      <c r="G43" s="20">
        <f>100*($B43-G$3)/G$3</f>
        <v>8.2021734896594456</v>
      </c>
      <c r="H43" s="20">
        <f>100*($B43-H$3)/H$3</f>
        <v>7.1876195891469328</v>
      </c>
      <c r="I43" s="20">
        <f>100*($B43-I$3)/I$3</f>
        <v>5.7743199554246623</v>
      </c>
      <c r="J43" s="20">
        <f>100*($B43-J$3)/J$3</f>
        <v>4.8793666124444206</v>
      </c>
      <c r="K43" s="20">
        <f>100*($B43-K$3)/K$3</f>
        <v>1.6239002989358831</v>
      </c>
      <c r="L43" s="20">
        <f>100*($B43-L$3)/L$3</f>
        <v>0.91122226731663625</v>
      </c>
      <c r="M43" s="20">
        <f>100*($B43-M$3)/M$3</f>
        <v>0.7358447728614107</v>
      </c>
      <c r="N43" s="20">
        <f>100*($B43-N$3)/N$3</f>
        <v>-16.864743515298226</v>
      </c>
      <c r="O43" s="20">
        <f>100*($B43-O$3)/O$3</f>
        <v>15.211687192209034</v>
      </c>
      <c r="P43" s="20">
        <f>100*($B43-P$3)/P$3</f>
        <v>15.082815058884432</v>
      </c>
      <c r="Q43" s="20">
        <f>100*($B43-Q$3)/Q$3</f>
        <v>17.447530436806716</v>
      </c>
      <c r="R43" s="20">
        <f>100*($B43-R$3)/R$3</f>
        <v>15.762629156278679</v>
      </c>
      <c r="S43" s="20">
        <f>100*($B43-S$3)/S$3</f>
        <v>14.665964516737452</v>
      </c>
      <c r="T43" s="20">
        <f>100*($B43-T$3)/T$3</f>
        <v>12.873326014967288</v>
      </c>
      <c r="U43" s="20">
        <f>100*($B43-U$3)/U$3</f>
        <v>13.998932590185799</v>
      </c>
      <c r="V43" s="20">
        <f>100*($B43-V$3)/V$3</f>
        <v>14.954230907980644</v>
      </c>
      <c r="W43" s="20">
        <f>100*($B43-W$3)/W$3</f>
        <v>13.87275778931121</v>
      </c>
      <c r="X43" s="20">
        <f>100*($B43-X$3)/X$3</f>
        <v>9.7722450388292081</v>
      </c>
      <c r="Y43" s="20">
        <f>100*($B43-Y$3)/Y$3</f>
        <v>6.17547643203579</v>
      </c>
      <c r="Z43" s="20">
        <f>100*($B43-Z$3)/Z$3</f>
        <v>5.3599965823273612</v>
      </c>
      <c r="AA43" s="20">
        <f>100*($B43-AA$3)/AA$3</f>
        <v>12.749629219334441</v>
      </c>
    </row>
    <row r="44" spans="1:27">
      <c r="A44" s="8" t="str">
        <f>MXenes!A43</f>
        <v>Mo2NbCNO2</v>
      </c>
      <c r="B44" s="18">
        <f>MXenes!D43</f>
        <v>3.01</v>
      </c>
      <c r="C44" s="19" t="str">
        <f>MXenes!B43</f>
        <v>ordered carbonitride</v>
      </c>
      <c r="D44" s="20">
        <f>100*($B44-D$3)/D$3</f>
        <v>20.790636552396819</v>
      </c>
      <c r="E44" s="20">
        <f>100*($B44-E$3)/E$3</f>
        <v>20.092050520313041</v>
      </c>
      <c r="F44" s="20">
        <f>100*($B44-F$3)/F$3</f>
        <v>17.75658587355159</v>
      </c>
      <c r="G44" s="20">
        <f>100*($B44-G$3)/G$3</f>
        <v>11.920461238444979</v>
      </c>
      <c r="H44" s="20">
        <f>100*($B44-H$3)/H$3</f>
        <v>10.871042942725852</v>
      </c>
      <c r="I44" s="20">
        <f>100*($B44-I$3)/I$3</f>
        <v>9.4091763112811684</v>
      </c>
      <c r="J44" s="20">
        <f>100*($B44-J$3)/J$3</f>
        <v>8.4834685578892337</v>
      </c>
      <c r="K44" s="20">
        <f>100*($B44-K$3)/K$3</f>
        <v>5.1161305497584095</v>
      </c>
      <c r="L44" s="20">
        <f>100*($B44-L$3)/L$3</f>
        <v>4.3789618641316288</v>
      </c>
      <c r="M44" s="20">
        <f>100*($B44-M$3)/M$3</f>
        <v>4.1975576516538871</v>
      </c>
      <c r="N44" s="20">
        <f>100*($B44-N$3)/N$3</f>
        <v>-14.007861849157281</v>
      </c>
      <c r="O44" s="20">
        <f>100*($B44-O$3)/O$3</f>
        <v>19.170851700532353</v>
      </c>
      <c r="P44" s="20">
        <f>100*($B44-P$3)/P$3</f>
        <v>19.037550971560858</v>
      </c>
      <c r="Q44" s="20">
        <f>100*($B44-Q$3)/Q$3</f>
        <v>21.483528046318959</v>
      </c>
      <c r="R44" s="20">
        <f>100*($B44-R$3)/R$3</f>
        <v>19.740726378143911</v>
      </c>
      <c r="S44" s="20">
        <f>100*($B44-S$3)/S$3</f>
        <v>18.606375668515355</v>
      </c>
      <c r="T44" s="20">
        <f>100*($B44-T$3)/T$3</f>
        <v>16.75213446908986</v>
      </c>
      <c r="U44" s="20">
        <f>100*($B44-U$3)/U$3</f>
        <v>17.916421682632031</v>
      </c>
      <c r="V44" s="20">
        <f>100*($B44-V$3)/V$3</f>
        <v>18.904548121313301</v>
      </c>
      <c r="W44" s="20">
        <f>100*($B44-W$3)/W$3</f>
        <v>17.785910977947321</v>
      </c>
      <c r="X44" s="20">
        <f>100*($B44-X$3)/X$3</f>
        <v>13.544487136383463</v>
      </c>
      <c r="Y44" s="20">
        <f>100*($B44-Y$3)/Y$3</f>
        <v>9.824118233823949</v>
      </c>
      <c r="Z44" s="20">
        <f>100*($B44-Z$3)/Z$3</f>
        <v>8.9806150215825848</v>
      </c>
      <c r="AA44" s="20">
        <f>100*($B44-AA$3)/AA$3</f>
        <v>16.624186924466194</v>
      </c>
    </row>
    <row r="45" spans="1:27">
      <c r="A45" s="8" t="str">
        <f>MXenes!A44</f>
        <v>Cr2TiCNO2</v>
      </c>
      <c r="B45" s="18">
        <f>MXenes!D44</f>
        <v>2.86</v>
      </c>
      <c r="C45" s="19" t="str">
        <f>MXenes!B44</f>
        <v>ordered carbonitride</v>
      </c>
      <c r="D45" s="20">
        <f>100*($B45-D$3)/D$3</f>
        <v>14.771169614569741</v>
      </c>
      <c r="E45" s="20">
        <f>100*($B45-E$3)/E$3</f>
        <v>14.107396839898774</v>
      </c>
      <c r="F45" s="20">
        <f>100*($B45-F$3)/F$3</f>
        <v>11.888317474537393</v>
      </c>
      <c r="G45" s="20">
        <f>100*($B45-G$3)/G$3</f>
        <v>6.343029615266663</v>
      </c>
      <c r="H45" s="20">
        <f>100*($B45-H$3)/H$3</f>
        <v>5.3459079123574567</v>
      </c>
      <c r="I45" s="20">
        <f>100*($B45-I$3)/I$3</f>
        <v>3.9568917774963941</v>
      </c>
      <c r="J45" s="20">
        <f>100*($B45-J$3)/J$3</f>
        <v>3.0773156397219985</v>
      </c>
      <c r="K45" s="20">
        <f>100*($B45-K$3)/K$3</f>
        <v>-0.12221482647539555</v>
      </c>
      <c r="L45" s="20">
        <f>100*($B45-L$3)/L$3</f>
        <v>-0.82264753109087529</v>
      </c>
      <c r="M45" s="20">
        <f>100*($B45-M$3)/M$3</f>
        <v>-0.99501166653484252</v>
      </c>
      <c r="N45" s="20">
        <f>100*($B45-N$3)/N$3</f>
        <v>-18.293184348368712</v>
      </c>
      <c r="O45" s="20">
        <f>100*($B45-O$3)/O$3</f>
        <v>13.232104938047359</v>
      </c>
      <c r="P45" s="20">
        <f>100*($B45-P$3)/P$3</f>
        <v>13.105447102546201</v>
      </c>
      <c r="Q45" s="20">
        <f>100*($B45-Q$3)/Q$3</f>
        <v>15.429531632050576</v>
      </c>
      <c r="R45" s="20">
        <f>100*($B45-R$3)/R$3</f>
        <v>13.773580545346045</v>
      </c>
      <c r="S45" s="20">
        <f>100*($B45-S$3)/S$3</f>
        <v>12.695758940848481</v>
      </c>
      <c r="T45" s="20">
        <f>100*($B45-T$3)/T$3</f>
        <v>10.933921787905984</v>
      </c>
      <c r="U45" s="20">
        <f>100*($B45-U$3)/U$3</f>
        <v>12.040188043962665</v>
      </c>
      <c r="V45" s="20">
        <f>100*($B45-V$3)/V$3</f>
        <v>12.979072301314302</v>
      </c>
      <c r="W45" s="20">
        <f>100*($B45-W$3)/W$3</f>
        <v>11.916181194993138</v>
      </c>
      <c r="X45" s="20">
        <f>100*($B45-X$3)/X$3</f>
        <v>7.8861239900520639</v>
      </c>
      <c r="Y45" s="20">
        <f>100*($B45-Y$3)/Y$3</f>
        <v>4.3511555311416945</v>
      </c>
      <c r="Z45" s="20">
        <f>100*($B45-Z$3)/Z$3</f>
        <v>3.5496873626997338</v>
      </c>
      <c r="AA45" s="20">
        <f>100*($B45-AA$3)/AA$3</f>
        <v>10.812350366768548</v>
      </c>
    </row>
    <row r="46" spans="1:27">
      <c r="A46" s="8" t="str">
        <f>MXenes!A45</f>
        <v>(Ti0.5Nb0.5)2C</v>
      </c>
      <c r="B46" s="18">
        <f>MXenes!D45</f>
        <v>3.0720000000000001</v>
      </c>
      <c r="C46" s="19" t="str">
        <f>MXenes!B45</f>
        <v>solid solution</v>
      </c>
      <c r="D46" s="20">
        <f>100*($B46-D$3)/D$3</f>
        <v>23.278682886698693</v>
      </c>
      <c r="E46" s="20">
        <f>100*($B46-E$3)/E$3</f>
        <v>22.565707374884283</v>
      </c>
      <c r="F46" s="20">
        <f>100*($B46-F$3)/F$3</f>
        <v>20.182136811810803</v>
      </c>
      <c r="G46" s="20">
        <f>100*($B46-G$3)/G$3</f>
        <v>14.22579964269203</v>
      </c>
      <c r="H46" s="20">
        <f>100*($B46-H$3)/H$3</f>
        <v>13.1547654219448</v>
      </c>
      <c r="I46" s="20">
        <f>100*($B46-I$3)/I$3</f>
        <v>11.662787251912217</v>
      </c>
      <c r="J46" s="20">
        <f>100*($B46-J$3)/J$3</f>
        <v>10.718011764065034</v>
      </c>
      <c r="K46" s="20">
        <f>100*($B46-K$3)/K$3</f>
        <v>7.2813133052683936</v>
      </c>
      <c r="L46" s="20">
        <f>100*($B46-L$3)/L$3</f>
        <v>6.5289604141569413</v>
      </c>
      <c r="M46" s="20">
        <f>100*($B46-M$3)/M$3</f>
        <v>6.3438196365052386</v>
      </c>
      <c r="N46" s="20">
        <f>100*($B46-N$3)/N$3</f>
        <v>-12.236595216149883</v>
      </c>
      <c r="O46" s="20">
        <f>100*($B46-O$3)/O$3</f>
        <v>21.625533695692834</v>
      </c>
      <c r="P46" s="20">
        <f>100*($B46-P$3)/P$3</f>
        <v>21.48948723742026</v>
      </c>
      <c r="Q46" s="20">
        <f>100*($B46-Q$3)/Q$3</f>
        <v>23.985846564216569</v>
      </c>
      <c r="R46" s="20">
        <f>100*($B46-R$3)/R$3</f>
        <v>22.207146655700374</v>
      </c>
      <c r="S46" s="20">
        <f>100*($B46-S$3)/S$3</f>
        <v>21.049430582617674</v>
      </c>
      <c r="T46" s="20">
        <f>100*($B46-T$3)/T$3</f>
        <v>19.156995710645873</v>
      </c>
      <c r="U46" s="20">
        <f>100*($B46-U$3)/U$3</f>
        <v>20.345264919948715</v>
      </c>
      <c r="V46" s="20">
        <f>100*($B46-V$3)/V$3</f>
        <v>21.353744793579565</v>
      </c>
      <c r="W46" s="20">
        <f>100*($B46-W$3)/W$3</f>
        <v>20.212065954901728</v>
      </c>
      <c r="X46" s="20">
        <f>100*($B46-X$3)/X$3</f>
        <v>15.883277236867121</v>
      </c>
      <c r="Y46" s="20">
        <f>100*($B46-Y$3)/Y$3</f>
        <v>12.086276150932624</v>
      </c>
      <c r="Z46" s="20">
        <f>100*($B46-Z$3)/Z$3</f>
        <v>11.225398453920839</v>
      </c>
      <c r="AA46" s="20">
        <f>100*($B46-AA$3)/AA$3</f>
        <v>19.026412701647903</v>
      </c>
    </row>
    <row r="47" spans="1:27">
      <c r="A47" s="8" t="str">
        <f>MXenes!A46</f>
        <v>(Ti0.5V0.5)2C</v>
      </c>
      <c r="B47" s="18">
        <f>MXenes!D46</f>
        <v>2.96</v>
      </c>
      <c r="C47" s="19" t="str">
        <f>MXenes!B46</f>
        <v>solid solution</v>
      </c>
      <c r="D47" s="20">
        <f>100*($B47-D$3)/D$3</f>
        <v>18.784147573121135</v>
      </c>
      <c r="E47" s="20">
        <f>100*($B47-E$3)/E$3</f>
        <v>18.097165960174959</v>
      </c>
      <c r="F47" s="20">
        <f>100*($B47-F$3)/F$3</f>
        <v>15.800496407213529</v>
      </c>
      <c r="G47" s="20">
        <f>100*($B47-G$3)/G$3</f>
        <v>10.061317364052213</v>
      </c>
      <c r="H47" s="20">
        <f>100*($B47-H$3)/H$3</f>
        <v>9.029331265936392</v>
      </c>
      <c r="I47" s="20">
        <f>100*($B47-I$3)/I$3</f>
        <v>7.5917481333529144</v>
      </c>
      <c r="J47" s="20">
        <f>100*($B47-J$3)/J$3</f>
        <v>6.6814175851668267</v>
      </c>
      <c r="K47" s="20">
        <f>100*($B47-K$3)/K$3</f>
        <v>3.3700154243471463</v>
      </c>
      <c r="L47" s="20">
        <f>100*($B47-L$3)/L$3</f>
        <v>2.6450920657241324</v>
      </c>
      <c r="M47" s="20">
        <f>100*($B47-M$3)/M$3</f>
        <v>2.4667012122576488</v>
      </c>
      <c r="N47" s="20">
        <f>100*($B47-N$3)/N$3</f>
        <v>-15.436302682227755</v>
      </c>
      <c r="O47" s="20">
        <f>100*($B47-O$3)/O$3</f>
        <v>17.191269446370697</v>
      </c>
      <c r="P47" s="20">
        <f>100*($B47-P$3)/P$3</f>
        <v>17.060183015222645</v>
      </c>
      <c r="Q47" s="20">
        <f>100*($B47-Q$3)/Q$3</f>
        <v>19.465529241562841</v>
      </c>
      <c r="R47" s="20">
        <f>100*($B47-R$3)/R$3</f>
        <v>17.751677767211298</v>
      </c>
      <c r="S47" s="20">
        <f>100*($B47-S$3)/S$3</f>
        <v>16.636170092626404</v>
      </c>
      <c r="T47" s="20">
        <f>100*($B47-T$3)/T$3</f>
        <v>14.812730242028573</v>
      </c>
      <c r="U47" s="20">
        <f>100*($B47-U$3)/U$3</f>
        <v>15.957677136408915</v>
      </c>
      <c r="V47" s="20">
        <f>100*($B47-V$3)/V$3</f>
        <v>16.929389514646974</v>
      </c>
      <c r="W47" s="20">
        <f>100*($B47-W$3)/W$3</f>
        <v>15.829334383629266</v>
      </c>
      <c r="X47" s="20">
        <f>100*($B47-X$3)/X$3</f>
        <v>11.658366087606336</v>
      </c>
      <c r="Y47" s="20">
        <f>100*($B47-Y$3)/Y$3</f>
        <v>7.9997973329298677</v>
      </c>
      <c r="Z47" s="20">
        <f>100*($B47-Z$3)/Z$3</f>
        <v>7.1703058019549717</v>
      </c>
      <c r="AA47" s="20">
        <f>100*($B47-AA$3)/AA$3</f>
        <v>14.686908071900319</v>
      </c>
    </row>
    <row r="48" spans="1:27">
      <c r="A48" s="8" t="str">
        <f>MXenes!A47</f>
        <v>(V0.5Nb0.5)2C</v>
      </c>
      <c r="B48" s="18">
        <f>MXenes!D47</f>
        <v>2.9929999999999999</v>
      </c>
      <c r="C48" s="19" t="str">
        <f>MXenes!B47</f>
        <v>solid solution</v>
      </c>
      <c r="D48" s="20">
        <f>100*($B48-D$3)/D$3</f>
        <v>20.108430299443089</v>
      </c>
      <c r="E48" s="20">
        <f>100*($B48-E$3)/E$3</f>
        <v>19.413789769866092</v>
      </c>
      <c r="F48" s="20">
        <f>100*($B48-F$3)/F$3</f>
        <v>17.091515454996649</v>
      </c>
      <c r="G48" s="20">
        <f>100*($B48-G$3)/G$3</f>
        <v>11.288352321151441</v>
      </c>
      <c r="H48" s="20">
        <f>100*($B48-H$3)/H$3</f>
        <v>10.244860972617436</v>
      </c>
      <c r="I48" s="20">
        <f>100*($B48-I$3)/I$3</f>
        <v>8.7912507307855634</v>
      </c>
      <c r="J48" s="20">
        <f>100*($B48-J$3)/J$3</f>
        <v>7.8707712271636154</v>
      </c>
      <c r="K48" s="20">
        <f>100*($B48-K$3)/K$3</f>
        <v>4.5224514071185808</v>
      </c>
      <c r="L48" s="20">
        <f>100*($B48-L$3)/L$3</f>
        <v>3.7894461326730808</v>
      </c>
      <c r="M48" s="20">
        <f>100*($B48-M$3)/M$3</f>
        <v>3.6090664622591668</v>
      </c>
      <c r="N48" s="20">
        <f>100*($B48-N$3)/N$3</f>
        <v>-14.493531732401241</v>
      </c>
      <c r="O48" s="20">
        <f>100*($B48-O$3)/O$3</f>
        <v>18.497793734117391</v>
      </c>
      <c r="P48" s="20">
        <f>100*($B48-P$3)/P$3</f>
        <v>18.365245866405868</v>
      </c>
      <c r="Q48" s="20">
        <f>100*($B48-Q$3)/Q$3</f>
        <v>20.79740845270188</v>
      </c>
      <c r="R48" s="20">
        <f>100*($B48-R$3)/R$3</f>
        <v>19.064449850426826</v>
      </c>
      <c r="S48" s="20">
        <f>100*($B48-S$3)/S$3</f>
        <v>17.936505772713115</v>
      </c>
      <c r="T48" s="20">
        <f>100*($B48-T$3)/T$3</f>
        <v>16.092737031889023</v>
      </c>
      <c r="U48" s="20">
        <f>100*($B48-U$3)/U$3</f>
        <v>17.250448536916174</v>
      </c>
      <c r="V48" s="20">
        <f>100*($B48-V$3)/V$3</f>
        <v>18.23299419504675</v>
      </c>
      <c r="W48" s="20">
        <f>100*($B48-W$3)/W$3</f>
        <v>17.120674935879183</v>
      </c>
      <c r="X48" s="20">
        <f>100*($B48-X$3)/X$3</f>
        <v>12.903205979799242</v>
      </c>
      <c r="Y48" s="20">
        <f>100*($B48-Y$3)/Y$3</f>
        <v>9.2038491275199625</v>
      </c>
      <c r="Z48" s="20">
        <f>100*($B48-Z$3)/Z$3</f>
        <v>8.3651098869091971</v>
      </c>
      <c r="AA48" s="20">
        <f>100*($B48-AA$3)/AA$3</f>
        <v>15.965512114593798</v>
      </c>
    </row>
    <row r="49" spans="1:27">
      <c r="A49" s="8" t="str">
        <f>MXenes!A48</f>
        <v>(Mo0.5Ti0.5)3C2</v>
      </c>
      <c r="B49" s="18">
        <f>MXenes!D48</f>
        <v>3.0649999999999999</v>
      </c>
      <c r="C49" s="19" t="str">
        <f>MXenes!B48</f>
        <v>solid solution</v>
      </c>
      <c r="D49" s="20">
        <f>100*($B49-D$3)/D$3</f>
        <v>22.997774429600092</v>
      </c>
      <c r="E49" s="20">
        <f>100*($B49-E$3)/E$3</f>
        <v>22.286423536464948</v>
      </c>
      <c r="F49" s="20">
        <f>100*($B49-F$3)/F$3</f>
        <v>19.908284286523468</v>
      </c>
      <c r="G49" s="20">
        <f>100*($B49-G$3)/G$3</f>
        <v>13.965519500277038</v>
      </c>
      <c r="H49" s="20">
        <f>100*($B49-H$3)/H$3</f>
        <v>12.89692578719427</v>
      </c>
      <c r="I49" s="20">
        <f>100*($B49-I$3)/I$3</f>
        <v>11.408347307002257</v>
      </c>
      <c r="J49" s="20">
        <f>100*($B49-J$3)/J$3</f>
        <v>10.465724627883894</v>
      </c>
      <c r="K49" s="20">
        <f>100*($B49-K$3)/K$3</f>
        <v>7.0368571877108117</v>
      </c>
      <c r="L49" s="20">
        <f>100*($B49-L$3)/L$3</f>
        <v>6.286218642379886</v>
      </c>
      <c r="M49" s="20">
        <f>100*($B49-M$3)/M$3</f>
        <v>6.1014997349897602</v>
      </c>
      <c r="N49" s="20">
        <f>100*($B49-N$3)/N$3</f>
        <v>-12.436576932779753</v>
      </c>
      <c r="O49" s="20">
        <f>100*($B49-O$3)/O$3</f>
        <v>21.348392180110192</v>
      </c>
      <c r="P49" s="20">
        <f>100*($B49-P$3)/P$3</f>
        <v>21.212655723532908</v>
      </c>
      <c r="Q49" s="20">
        <f>100*($B49-Q$3)/Q$3</f>
        <v>23.703326731550707</v>
      </c>
      <c r="R49" s="20">
        <f>100*($B49-R$3)/R$3</f>
        <v>21.928679850169804</v>
      </c>
      <c r="S49" s="20">
        <f>100*($B49-S$3)/S$3</f>
        <v>20.773601801993216</v>
      </c>
      <c r="T49" s="20">
        <f>100*($B49-T$3)/T$3</f>
        <v>18.88547911885729</v>
      </c>
      <c r="U49" s="20">
        <f>100*($B49-U$3)/U$3</f>
        <v>20.071040683477474</v>
      </c>
      <c r="V49" s="20">
        <f>100*($B49-V$3)/V$3</f>
        <v>21.077222588646276</v>
      </c>
      <c r="W49" s="20">
        <f>100*($B49-W$3)/W$3</f>
        <v>19.938145231697195</v>
      </c>
      <c r="X49" s="20">
        <f>100*($B49-X$3)/X$3</f>
        <v>15.619220290038315</v>
      </c>
      <c r="Y49" s="20">
        <f>100*($B49-Y$3)/Y$3</f>
        <v>11.830871224807447</v>
      </c>
      <c r="Z49" s="20">
        <f>100*($B49-Z$3)/Z$3</f>
        <v>10.97195516317297</v>
      </c>
      <c r="AA49" s="20">
        <f>100*($B49-AA$3)/AA$3</f>
        <v>18.755193662288676</v>
      </c>
    </row>
    <row r="50" spans="1:27">
      <c r="A50" s="8" t="str">
        <f>MXenes!A49</f>
        <v>Ti3C2Tx</v>
      </c>
      <c r="B50" s="18">
        <f>MXenes!D49</f>
        <v>3.0505</v>
      </c>
      <c r="C50" s="19" t="str">
        <f>MXenes!B49</f>
        <v>experimental</v>
      </c>
      <c r="D50" s="20">
        <f>100*($B50-D$3)/D$3</f>
        <v>22.415892625610145</v>
      </c>
      <c r="E50" s="20">
        <f>100*($B50-E$3)/E$3</f>
        <v>21.707907014024904</v>
      </c>
      <c r="F50" s="20">
        <f>100*($B50-F$3)/F$3</f>
        <v>19.34101834128543</v>
      </c>
      <c r="G50" s="20">
        <f>100*($B50-G$3)/G$3</f>
        <v>13.426367776703136</v>
      </c>
      <c r="H50" s="20">
        <f>100*($B50-H$3)/H$3</f>
        <v>12.362829400925328</v>
      </c>
      <c r="I50" s="20">
        <f>100*($B50-I$3)/I$3</f>
        <v>10.881293135403064</v>
      </c>
      <c r="J50" s="20">
        <f>100*($B50-J$3)/J$3</f>
        <v>9.9431298457943953</v>
      </c>
      <c r="K50" s="20">
        <f>100*($B50-K$3)/K$3</f>
        <v>6.5304838013415445</v>
      </c>
      <c r="L50" s="20">
        <f>100*($B50-L$3)/L$3</f>
        <v>5.7833964008417125</v>
      </c>
      <c r="M50" s="20">
        <f>100*($B50-M$3)/M$3</f>
        <v>5.5995513675648505</v>
      </c>
      <c r="N50" s="20">
        <f>100*($B50-N$3)/N$3</f>
        <v>-12.850824774370189</v>
      </c>
      <c r="O50" s="20">
        <f>100*($B50-O$3)/O$3</f>
        <v>20.774313326403316</v>
      </c>
      <c r="P50" s="20">
        <f>100*($B50-P$3)/P$3</f>
        <v>20.639219016194826</v>
      </c>
      <c r="Q50" s="20">
        <f>100*($B50-Q$3)/Q$3</f>
        <v>23.118107078171434</v>
      </c>
      <c r="R50" s="20">
        <f>100*($B50-R$3)/R$3</f>
        <v>21.351855752999345</v>
      </c>
      <c r="S50" s="20">
        <f>100*($B50-S$3)/S$3</f>
        <v>20.202242184985423</v>
      </c>
      <c r="T50" s="20">
        <f>100*($B50-T$3)/T$3</f>
        <v>18.323051893009517</v>
      </c>
      <c r="U50" s="20">
        <f>100*($B50-U$3)/U$3</f>
        <v>19.50300476507277</v>
      </c>
      <c r="V50" s="20">
        <f>100*($B50-V$3)/V$3</f>
        <v>20.504426592713038</v>
      </c>
      <c r="W50" s="20">
        <f>100*($B50-W$3)/W$3</f>
        <v>19.370738019344959</v>
      </c>
      <c r="X50" s="20">
        <f>100*($B50-X$3)/X$3</f>
        <v>15.07224518589295</v>
      </c>
      <c r="Y50" s="20">
        <f>100*($B50-Y$3)/Y$3</f>
        <v>11.301818163548164</v>
      </c>
      <c r="Z50" s="20">
        <f>100*($B50-Z$3)/Z$3</f>
        <v>10.446965489480961</v>
      </c>
      <c r="AA50" s="20">
        <f>100*($B50-AA$3)/AA$3</f>
        <v>18.193382795044567</v>
      </c>
    </row>
  </sheetData>
  <autoFilter ref="A4:AA50" xr:uid="{00000000-0009-0000-0000-000003000000}"/>
  <mergeCells count="2">
    <mergeCell ref="A1:AA1"/>
    <mergeCell ref="A2:AA2"/>
  </mergeCells>
  <conditionalFormatting sqref="D5:AA50">
    <cfRule type="colorScale" priority="2">
      <colorScale>
        <cfvo type="num" val="-12"/>
        <cfvo type="num" val="0"/>
        <cfvo type="num" val="12"/>
        <color rgb="FF5B9BD5"/>
        <color rgb="FFFFFFFF"/>
        <color rgb="FFFF6B6B"/>
      </colorScale>
    </cfRule>
  </conditionalFormatting>
  <pageMargins left="0.4" right="0.4" top="0.6" bottom="0.5" header="0.5" footer="0.5"/>
  <pageSetup paperSize="3" orientation="landscape" horizontalDpi="300" verticalDpi="300"/>
  <headerFooter>
    <oddHeader>&amp;LStrain</oddHeader>
    <oddFooter>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  <pageSetUpPr fitToPage="1"/>
  </sheetPr>
  <dimension ref="A1:AA50"/>
  <sheetViews>
    <sheetView showGridLines="0" zoomScaleNormal="100" workbookViewId="0">
      <pane xSplit="3" ySplit="4" topLeftCell="D5" activePane="bottomRight" state="frozen"/>
      <selection pane="bottomRight"/>
      <selection pane="bottomLeft" activeCell="A5" sqref="A5"/>
      <selection pane="topRight" activeCell="D1" sqref="D1"/>
    </sheetView>
  </sheetViews>
  <sheetFormatPr defaultColWidth="8.7109375" defaultRowHeight="15"/>
  <cols>
    <col min="1" max="1" width="20" customWidth="1"/>
    <col min="2" max="2" width="8" customWidth="1"/>
    <col min="3" max="3" width="20" customWidth="1"/>
    <col min="4" max="27" width="7" customWidth="1"/>
  </cols>
  <sheetData>
    <row r="1" spans="1:27">
      <c r="A1" s="23" t="s">
        <v>141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>
      <c r="A2" s="25" t="s">
        <v>139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>
      <c r="A3" s="13" t="s">
        <v>14</v>
      </c>
      <c r="D3" s="14">
        <f>Metals!E4</f>
        <v>2.4919150075795118</v>
      </c>
      <c r="E3" s="14">
        <f>Metals!E5</f>
        <v>2.5064106965938362</v>
      </c>
      <c r="F3" s="14">
        <f>Metals!E6</f>
        <v>2.5561203033112503</v>
      </c>
      <c r="G3" s="14">
        <f>Metals!E7</f>
        <v>2.6894099315649145</v>
      </c>
      <c r="H3" s="14">
        <f>Metals!E8</f>
        <v>2.7148657756876302</v>
      </c>
      <c r="I3" s="14">
        <f>Metals!E9</f>
        <v>2.7511403535625001</v>
      </c>
      <c r="J3" s="14">
        <f>Metals!E10</f>
        <v>2.7746162986978939</v>
      </c>
      <c r="K3" s="14">
        <f>Metals!E11</f>
        <v>2.8634996210930423</v>
      </c>
      <c r="L3" s="14">
        <f>Metals!E12</f>
        <v>2.8837228750349779</v>
      </c>
      <c r="M3" s="14">
        <f>Metals!E13</f>
        <v>2.8887433331814023</v>
      </c>
      <c r="N3" s="14">
        <f>Metals!E14</f>
        <v>3.5003199882296472</v>
      </c>
      <c r="O3" s="14">
        <f>Metals!E15</f>
        <v>2.5257854223983478</v>
      </c>
      <c r="P3" s="14">
        <f>Metals!E16</f>
        <v>2.5286138495230936</v>
      </c>
      <c r="Q3" s="14">
        <f>Metals!E17</f>
        <v>2.4777021612776622</v>
      </c>
      <c r="R3" s="14">
        <f>Metals!E18</f>
        <v>2.5137646071181763</v>
      </c>
      <c r="S3" s="14">
        <f>Metals!E19</f>
        <v>2.5378062376785189</v>
      </c>
      <c r="T3" s="14">
        <f>Metals!E20</f>
        <v>2.578111324206152</v>
      </c>
      <c r="U3" s="14">
        <f>Metals!E21</f>
        <v>2.5526554800834362</v>
      </c>
      <c r="V3" s="14">
        <f>Metals!E22</f>
        <v>2.5314422766478399</v>
      </c>
      <c r="W3" s="14">
        <f>Metals!E23</f>
        <v>2.5554839072081825</v>
      </c>
      <c r="X3" s="14">
        <f>Metals!E24</f>
        <v>2.6509433226683665</v>
      </c>
      <c r="Y3" s="14">
        <f>Metals!E25</f>
        <v>2.7407458838790579</v>
      </c>
      <c r="Z3" s="14">
        <f>Metals!E26</f>
        <v>2.7619590873146547</v>
      </c>
      <c r="AA3" s="14">
        <f>Metals!E27</f>
        <v>2.5809397513308983</v>
      </c>
    </row>
    <row r="4" spans="1:27" ht="69.75" customHeight="1">
      <c r="A4" s="15" t="s">
        <v>140</v>
      </c>
      <c r="B4" s="15" t="s">
        <v>68</v>
      </c>
      <c r="C4" s="15" t="s">
        <v>66</v>
      </c>
      <c r="D4" s="16" t="str">
        <f>Metals!A4</f>
        <v>Ni</v>
      </c>
      <c r="E4" s="16" t="str">
        <f>Metals!A5</f>
        <v>Co</v>
      </c>
      <c r="F4" s="16" t="str">
        <f>Metals!A6</f>
        <v>Cu</v>
      </c>
      <c r="G4" s="16" t="str">
        <f>Metals!A7</f>
        <v>Rh</v>
      </c>
      <c r="H4" s="16" t="str">
        <f>Metals!A8</f>
        <v>Ir</v>
      </c>
      <c r="I4" s="16" t="str">
        <f>Metals!A9</f>
        <v>Pd</v>
      </c>
      <c r="J4" s="16" t="str">
        <f>Metals!A10</f>
        <v>Pt</v>
      </c>
      <c r="K4" s="16" t="str">
        <f>Metals!A11</f>
        <v>Al</v>
      </c>
      <c r="L4" s="16" t="str">
        <f>Metals!A12</f>
        <v>Au</v>
      </c>
      <c r="M4" s="16" t="str">
        <f>Metals!A13</f>
        <v>Ag</v>
      </c>
      <c r="N4" s="16" t="str">
        <f>Metals!A14</f>
        <v>Pb</v>
      </c>
      <c r="O4" s="17" t="str">
        <f>Metals!A15</f>
        <v>Ni3Al</v>
      </c>
      <c r="P4" s="17" t="str">
        <f>Metals!A16</f>
        <v>Ni3Ga</v>
      </c>
      <c r="Q4" s="17" t="str">
        <f>Metals!A17</f>
        <v>Ni3Si</v>
      </c>
      <c r="R4" s="17" t="str">
        <f>Metals!A18</f>
        <v>Ni3Fe</v>
      </c>
      <c r="S4" s="17" t="str">
        <f>Metals!A19</f>
        <v>Ni3Mn</v>
      </c>
      <c r="T4" s="17" t="str">
        <f>Metals!A20</f>
        <v>Ni3Pt</v>
      </c>
      <c r="U4" s="17" t="str">
        <f>Metals!A21</f>
        <v>Ni3Ti</v>
      </c>
      <c r="V4" s="17" t="str">
        <f>Metals!A22</f>
        <v>Ni3(Al,Ti)</v>
      </c>
      <c r="W4" s="17" t="str">
        <f>Metals!A23</f>
        <v>Co3Ti</v>
      </c>
      <c r="X4" s="17" t="str">
        <f>Metals!A24</f>
        <v>Cu3Au</v>
      </c>
      <c r="Y4" s="17" t="str">
        <f>Metals!A25</f>
        <v>Pt3Al</v>
      </c>
      <c r="Z4" s="17" t="str">
        <f>Metals!A26</f>
        <v>Pt3Ti</v>
      </c>
      <c r="AA4" s="17" t="str">
        <f>Metals!A27</f>
        <v>Fe3Al</v>
      </c>
    </row>
    <row r="5" spans="1:27">
      <c r="A5" s="8" t="str">
        <f>MXenes!A4</f>
        <v>Ti2C</v>
      </c>
      <c r="B5" s="18">
        <f>MXenes!D4</f>
        <v>3.0390000000000001</v>
      </c>
      <c r="C5" s="19" t="str">
        <f>MXenes!B4</f>
        <v>single M2C</v>
      </c>
      <c r="D5" s="20">
        <f>ABS(100*($B5-D$3)/D$3)</f>
        <v>21.954400160376739</v>
      </c>
      <c r="E5" s="20">
        <f>ABS(100*($B5-E$3)/E$3)</f>
        <v>21.24908356519315</v>
      </c>
      <c r="F5" s="20">
        <f>ABS(100*($B5-F$3)/F$3)</f>
        <v>18.891117764027683</v>
      </c>
      <c r="G5" s="20">
        <f>ABS(100*($B5-G$3)/G$3)</f>
        <v>12.998764685592803</v>
      </c>
      <c r="H5" s="20">
        <f>ABS(100*($B5-H$3)/H$3)</f>
        <v>11.939235715263756</v>
      </c>
      <c r="I5" s="20">
        <f>ABS(100*($B5-I$3)/I$3)</f>
        <v>10.463284654479571</v>
      </c>
      <c r="J5" s="20">
        <f>ABS(100*($B5-J$3)/J$3)</f>
        <v>9.5286581220682454</v>
      </c>
      <c r="K5" s="20">
        <f>ABS(100*($B5-K$3)/K$3)</f>
        <v>6.1288773224969582</v>
      </c>
      <c r="L5" s="20">
        <f>ABS(100*($B5-L$3)/L$3)</f>
        <v>5.3846063472079919</v>
      </c>
      <c r="M5" s="20">
        <f>ABS(100*($B5-M$3)/M$3)</f>
        <v>5.2014543865037206</v>
      </c>
      <c r="N5" s="20">
        <f>ABS(100*($B5-N$3)/N$3)</f>
        <v>13.179366165976395</v>
      </c>
      <c r="O5" s="20">
        <f>ABS(100*($B5-O$3)/O$3)</f>
        <v>20.319009407946133</v>
      </c>
      <c r="P5" s="20">
        <f>ABS(100*($B5-P$3)/P$3)</f>
        <v>20.18442438623704</v>
      </c>
      <c r="Q5" s="20">
        <f>ABS(100*($B5-Q$3)/Q$3)</f>
        <v>22.65396735307753</v>
      </c>
      <c r="R5" s="20">
        <f>ABS(100*($B5-R$3)/R$3)</f>
        <v>20.894374572484846</v>
      </c>
      <c r="S5" s="20">
        <f>ABS(100*($B5-S$3)/S$3)</f>
        <v>19.749094902530967</v>
      </c>
      <c r="T5" s="20">
        <f>ABS(100*($B5-T$3)/T$3)</f>
        <v>17.876988920785426</v>
      </c>
      <c r="U5" s="20">
        <f>ABS(100*($B5-U$3)/U$3)</f>
        <v>19.052493519441459</v>
      </c>
      <c r="V5" s="20">
        <f>ABS(100*($B5-V$3)/V$3)</f>
        <v>20.05014011317979</v>
      </c>
      <c r="W5" s="20">
        <f>ABS(100*($B5-W$3)/W$3)</f>
        <v>18.920725402651808</v>
      </c>
      <c r="X5" s="20">
        <f>ABS(100*($B5-X$3)/X$3)</f>
        <v>14.638437344674214</v>
      </c>
      <c r="Y5" s="20">
        <f>ABS(100*($B5-Y$3)/Y$3)</f>
        <v>10.882224356342531</v>
      </c>
      <c r="Z5" s="20">
        <f>ABS(100*($B5-Z$3)/Z$3)</f>
        <v>10.030594368966616</v>
      </c>
      <c r="AA5" s="20">
        <f>ABS(100*($B5-AA$3)/AA$3)</f>
        <v>17.747808658954423</v>
      </c>
    </row>
    <row r="6" spans="1:27">
      <c r="A6" s="8" t="str">
        <f>MXenes!A5</f>
        <v>V2C</v>
      </c>
      <c r="B6" s="18">
        <f>MXenes!D5</f>
        <v>2.8809999999999998</v>
      </c>
      <c r="C6" s="19" t="str">
        <f>MXenes!B5</f>
        <v>single M2C</v>
      </c>
      <c r="D6" s="20">
        <f>ABS(100*($B6-D$3)/D$3)</f>
        <v>15.613894985865528</v>
      </c>
      <c r="E6" s="20">
        <f>ABS(100*($B6-E$3)/E$3)</f>
        <v>14.945248355156769</v>
      </c>
      <c r="F6" s="20">
        <f>ABS(100*($B6-F$3)/F$3)</f>
        <v>12.709875050399379</v>
      </c>
      <c r="G6" s="20">
        <f>ABS(100*($B6-G$3)/G$3)</f>
        <v>7.1238700425116228</v>
      </c>
      <c r="H6" s="20">
        <f>ABS(100*($B6-H$3)/H$3)</f>
        <v>6.1194268166090282</v>
      </c>
      <c r="I6" s="20">
        <f>ABS(100*($B6-I$3)/I$3)</f>
        <v>4.7202116122262598</v>
      </c>
      <c r="J6" s="20">
        <f>ABS(100*($B6-J$3)/J$3)</f>
        <v>3.8341770482654085</v>
      </c>
      <c r="K6" s="20">
        <f>ABS(100*($B6-K$3)/K$3)</f>
        <v>0.61115352619733432</v>
      </c>
      <c r="L6" s="20">
        <f>ABS(100*($B6-L$3)/L$3)</f>
        <v>9.4422215759727535E-2</v>
      </c>
      <c r="M6" s="20">
        <f>ABS(100*($B6-M$3)/M$3)</f>
        <v>0.26805196198842324</v>
      </c>
      <c r="N6" s="20">
        <f>ABS(100*($B6-N$3)/N$3)</f>
        <v>17.693239198479112</v>
      </c>
      <c r="O6" s="20">
        <f>ABS(100*($B6-O$3)/O$3)</f>
        <v>14.063529484795254</v>
      </c>
      <c r="P6" s="20">
        <f>ABS(100*($B6-P$3)/P$3)</f>
        <v>13.935941644208251</v>
      </c>
      <c r="Q6" s="20">
        <f>ABS(100*($B6-Q$3)/Q$3)</f>
        <v>16.277091130048149</v>
      </c>
      <c r="R6" s="20">
        <f>ABS(100*($B6-R$3)/R$3)</f>
        <v>14.608980961937744</v>
      </c>
      <c r="S6" s="20">
        <f>ABS(100*($B6-S$3)/S$3)</f>
        <v>13.523245282721838</v>
      </c>
      <c r="T6" s="20">
        <f>ABS(100*($B6-T$3)/T$3)</f>
        <v>11.748471563271723</v>
      </c>
      <c r="U6" s="20">
        <f>ABS(100*($B6-U$3)/U$3)</f>
        <v>12.862860753376371</v>
      </c>
      <c r="V6" s="20">
        <f>ABS(100*($B6-V$3)/V$3)</f>
        <v>13.808638916114157</v>
      </c>
      <c r="W6" s="20">
        <f>ABS(100*($B6-W$3)/W$3)</f>
        <v>12.737943364606721</v>
      </c>
      <c r="X6" s="20">
        <f>ABS(100*($B6-X$3)/X$3)</f>
        <v>8.6782948305384586</v>
      </c>
      <c r="Y6" s="20">
        <f>ABS(100*($B6-Y$3)/Y$3)</f>
        <v>5.1173703095172067</v>
      </c>
      <c r="Z6" s="20">
        <f>ABS(100*($B6-Z$3)/Z$3)</f>
        <v>4.3100172349433299</v>
      </c>
      <c r="AA6" s="20">
        <f>ABS(100*($B6-AA$3)/AA$3)</f>
        <v>11.626007484846216</v>
      </c>
    </row>
    <row r="7" spans="1:27">
      <c r="A7" s="8" t="str">
        <f>MXenes!A6</f>
        <v>Cr2C</v>
      </c>
      <c r="B7" s="18">
        <f>MXenes!D6</f>
        <v>2.8250000000000002</v>
      </c>
      <c r="C7" s="19" t="str">
        <f>MXenes!B6</f>
        <v>single M2C</v>
      </c>
      <c r="D7" s="20">
        <f>ABS(100*($B7-D$3)/D$3)</f>
        <v>13.366627329076767</v>
      </c>
      <c r="E7" s="20">
        <f>ABS(100*($B7-E$3)/E$3)</f>
        <v>12.710977647802121</v>
      </c>
      <c r="F7" s="20">
        <f>ABS(100*($B7-F$3)/F$3)</f>
        <v>10.519054848100758</v>
      </c>
      <c r="G7" s="20">
        <f>ABS(100*($B7-G$3)/G$3)</f>
        <v>5.0416289031917314</v>
      </c>
      <c r="H7" s="20">
        <f>ABS(100*($B7-H$3)/H$3)</f>
        <v>4.0567097386048419</v>
      </c>
      <c r="I7" s="20">
        <f>ABS(100*($B7-I$3)/I$3)</f>
        <v>2.6846920529466241</v>
      </c>
      <c r="J7" s="20">
        <f>ABS(100*($B7-J$3)/J$3)</f>
        <v>1.8158799588163204</v>
      </c>
      <c r="K7" s="20">
        <f>ABS(100*($B7-K$3)/K$3)</f>
        <v>1.3444954142632737</v>
      </c>
      <c r="L7" s="20">
        <f>ABS(100*($B7-L$3)/L$3)</f>
        <v>2.0363563899761163</v>
      </c>
      <c r="M7" s="20">
        <f>ABS(100*($B7-M$3)/M$3)</f>
        <v>2.206611174112203</v>
      </c>
      <c r="N7" s="20">
        <f>ABS(100*($B7-N$3)/N$3)</f>
        <v>19.293092931518036</v>
      </c>
      <c r="O7" s="20">
        <f>ABS(100*($B7-O$3)/O$3)</f>
        <v>11.846397360134203</v>
      </c>
      <c r="P7" s="20">
        <f>ABS(100*($B7-P$3)/P$3)</f>
        <v>11.721289533109459</v>
      </c>
      <c r="Q7" s="20">
        <f>ABS(100*($B7-Q$3)/Q$3)</f>
        <v>14.016932468721297</v>
      </c>
      <c r="R7" s="20">
        <f>ABS(100*($B7-R$3)/R$3)</f>
        <v>12.381246517693221</v>
      </c>
      <c r="S7" s="20">
        <f>ABS(100*($B7-S$3)/S$3)</f>
        <v>11.316615037726221</v>
      </c>
      <c r="T7" s="20">
        <f>ABS(100*($B7-T$3)/T$3)</f>
        <v>9.5763388289630882</v>
      </c>
      <c r="U7" s="20">
        <f>ABS(100*($B7-U$3)/U$3)</f>
        <v>10.669066861606488</v>
      </c>
      <c r="V7" s="20">
        <f>ABS(100*($B7-V$3)/V$3)</f>
        <v>11.596461276647879</v>
      </c>
      <c r="W7" s="20">
        <f>ABS(100*($B7-W$3)/W$3)</f>
        <v>10.546577578970508</v>
      </c>
      <c r="X7" s="20">
        <f>ABS(100*($B7-X$3)/X$3)</f>
        <v>6.5658392559080818</v>
      </c>
      <c r="Y7" s="20">
        <f>ABS(100*($B7-Y$3)/Y$3)</f>
        <v>3.0741309005158453</v>
      </c>
      <c r="Z7" s="20">
        <f>ABS(100*($B7-Z$3)/Z$3)</f>
        <v>2.2824709089604123</v>
      </c>
      <c r="AA7" s="20">
        <f>ABS(100*($B7-AA$3)/AA$3)</f>
        <v>9.456255169972442</v>
      </c>
    </row>
    <row r="8" spans="1:27">
      <c r="A8" s="8" t="str">
        <f>MXenes!A7</f>
        <v>Zr2C</v>
      </c>
      <c r="B8" s="18">
        <f>MXenes!D7</f>
        <v>3.28</v>
      </c>
      <c r="C8" s="19" t="str">
        <f>MXenes!B7</f>
        <v>single M2C</v>
      </c>
      <c r="D8" s="20">
        <f>ABS(100*($B8-D$3)/D$3)</f>
        <v>31.625677040485574</v>
      </c>
      <c r="E8" s="20">
        <f>ABS(100*($B8-E$3)/E$3)</f>
        <v>30.864427145058727</v>
      </c>
      <c r="F8" s="20">
        <f>ABS(100*($B8-F$3)/F$3)</f>
        <v>28.319468991777146</v>
      </c>
      <c r="G8" s="20">
        <f>ABS(100*($B8-G$3)/G$3)</f>
        <v>21.959838160165962</v>
      </c>
      <c r="H8" s="20">
        <f>ABS(100*($B8-H$3)/H$3)</f>
        <v>20.81628599738897</v>
      </c>
      <c r="I8" s="20">
        <f>ABS(100*($B8-I$3)/I$3)</f>
        <v>19.223288472093763</v>
      </c>
      <c r="J8" s="20">
        <f>ABS(100*($B8-J$3)/J$3)</f>
        <v>18.214543810590264</v>
      </c>
      <c r="K8" s="20">
        <f>ABS(100*($B8-K$3)/K$3)</f>
        <v>14.545152226979264</v>
      </c>
      <c r="L8" s="20">
        <f>ABS(100*($B8-L$3)/L$3)</f>
        <v>13.74185877553214</v>
      </c>
      <c r="M8" s="20">
        <f>ABS(100*($B8-M$3)/M$3)</f>
        <v>13.544182424393604</v>
      </c>
      <c r="N8" s="20">
        <f>ABS(100*($B8-N$3)/N$3)</f>
        <v>6.2942813505767043</v>
      </c>
      <c r="O8" s="20">
        <f>ABS(100*($B8-O$3)/O$3)</f>
        <v>29.860595873005359</v>
      </c>
      <c r="P8" s="20">
        <f>ABS(100*($B8-P$3)/P$3)</f>
        <v>29.71533793578725</v>
      </c>
      <c r="Q8" s="20">
        <f>ABS(100*($B8-Q$3)/Q$3)</f>
        <v>32.380721592002061</v>
      </c>
      <c r="R8" s="20">
        <f>ABS(100*($B8-R$3)/R$3)</f>
        <v>30.48158887718008</v>
      </c>
      <c r="S8" s="20">
        <f>ABS(100*($B8-S$3)/S$3)</f>
        <v>29.245485778315739</v>
      </c>
      <c r="T8" s="20">
        <f>ABS(100*($B8-T$3)/T$3)</f>
        <v>27.224917295220845</v>
      </c>
      <c r="U8" s="20">
        <f>ABS(100*($B8-U$3)/U$3)</f>
        <v>28.493642232236901</v>
      </c>
      <c r="V8" s="20">
        <f>ABS(100*($B8-V$3)/V$3)</f>
        <v>29.570404597311505</v>
      </c>
      <c r="W8" s="20">
        <f>ABS(100*($B8-W$3)/W$3)</f>
        <v>28.351424587264855</v>
      </c>
      <c r="X8" s="20">
        <f>ABS(100*($B8-X$3)/X$3)</f>
        <v>23.729540799779986</v>
      </c>
      <c r="Y8" s="20">
        <f>ABS(100*($B8-Y$3)/Y$3)</f>
        <v>19.675451098652012</v>
      </c>
      <c r="Z8" s="20">
        <f>ABS(100*($B8-Z$3)/Z$3)</f>
        <v>18.756284807571721</v>
      </c>
      <c r="AA8" s="20">
        <f>ABS(100*($B8-AA$3)/AA$3)</f>
        <v>27.08549272832197</v>
      </c>
    </row>
    <row r="9" spans="1:27">
      <c r="A9" s="8" t="str">
        <f>MXenes!A8</f>
        <v>Nb2C</v>
      </c>
      <c r="B9" s="18">
        <f>MXenes!D8</f>
        <v>3.1040000000000001</v>
      </c>
      <c r="C9" s="19" t="str">
        <f>MXenes!B8</f>
        <v>single M2C</v>
      </c>
      <c r="D9" s="20">
        <f>ABS(100*($B9-D$3)/D$3)</f>
        <v>24.562835833435141</v>
      </c>
      <c r="E9" s="20">
        <f>ABS(100*($B9-E$3)/E$3)</f>
        <v>23.842433493372663</v>
      </c>
      <c r="F9" s="20">
        <f>ABS(100*($B9-F$3)/F$3)</f>
        <v>21.434034070267167</v>
      </c>
      <c r="G9" s="20">
        <f>ABS(100*($B9-G$3)/G$3)</f>
        <v>15.415651722303407</v>
      </c>
      <c r="H9" s="20">
        <f>ABS(100*($B9-H$3)/H$3)</f>
        <v>14.333460895090059</v>
      </c>
      <c r="I9" s="20">
        <f>ABS(100*($B9-I$3)/I$3)</f>
        <v>12.825941285786303</v>
      </c>
      <c r="J9" s="20">
        <f>ABS(100*($B9-J$3)/J$3)</f>
        <v>11.87132438660738</v>
      </c>
      <c r="K9" s="20">
        <f>ABS(100*($B9-K$3)/K$3)</f>
        <v>8.398826985531608</v>
      </c>
      <c r="L9" s="20">
        <f>ABS(100*($B9-L$3)/L$3)</f>
        <v>7.6386370851377441</v>
      </c>
      <c r="M9" s="20">
        <f>ABS(100*($B9-M$3)/M$3)</f>
        <v>7.4515677577188359</v>
      </c>
      <c r="N9" s="20">
        <f>ABS(100*($B9-N$3)/N$3)</f>
        <v>11.322393082984776</v>
      </c>
      <c r="O9" s="20">
        <f>ABS(100*($B9-O$3)/O$3)</f>
        <v>22.892466338356304</v>
      </c>
      <c r="P9" s="20">
        <f>ABS(100*($B9-P$3)/P$3)</f>
        <v>22.755002729476722</v>
      </c>
      <c r="Q9" s="20">
        <f>ABS(100*($B9-Q$3)/Q$3)</f>
        <v>25.277365799260494</v>
      </c>
      <c r="R9" s="20">
        <f>ABS(100*($B9-R$3)/R$3)</f>
        <v>23.480137766697254</v>
      </c>
      <c r="S9" s="20">
        <f>ABS(100*($B9-S$3)/S$3)</f>
        <v>22.310362151186609</v>
      </c>
      <c r="T9" s="20">
        <f>ABS(100*($B9-T$3)/T$3)</f>
        <v>20.398214415965104</v>
      </c>
      <c r="U9" s="20">
        <f>ABS(100*($B9-U$3)/U$3)</f>
        <v>21.598861429531514</v>
      </c>
      <c r="V9" s="20">
        <f>ABS(100*($B9-V$3)/V$3)</f>
        <v>22.617846301846019</v>
      </c>
      <c r="W9" s="20">
        <f>ABS(100*($B9-W$3)/W$3)</f>
        <v>21.46427497526529</v>
      </c>
      <c r="X9" s="20">
        <f>ABS(100*($B9-X$3)/X$3)</f>
        <v>17.090394708084489</v>
      </c>
      <c r="Y9" s="20">
        <f>ABS(100*($B9-Y$3)/Y$3)</f>
        <v>13.253841527504839</v>
      </c>
      <c r="Z9" s="20">
        <f>ABS(100*($B9-Z$3)/Z$3)</f>
        <v>12.383996354482516</v>
      </c>
      <c r="AA9" s="20">
        <f>ABS(100*($B9-AA$3)/AA$3)</f>
        <v>20.266271167290071</v>
      </c>
    </row>
    <row r="10" spans="1:27">
      <c r="A10" s="8" t="str">
        <f>MXenes!A9</f>
        <v>Mo2C</v>
      </c>
      <c r="B10" s="18">
        <f>MXenes!D9</f>
        <v>2.8479999999999999</v>
      </c>
      <c r="C10" s="19" t="str">
        <f>MXenes!B9</f>
        <v>single M2C</v>
      </c>
      <c r="D10" s="20">
        <f>ABS(100*($B10-D$3)/D$3)</f>
        <v>14.289612259543572</v>
      </c>
      <c r="E10" s="20">
        <f>ABS(100*($B10-E$3)/E$3)</f>
        <v>13.62862454546563</v>
      </c>
      <c r="F10" s="20">
        <f>ABS(100*($B10-F$3)/F$3)</f>
        <v>11.418856002616256</v>
      </c>
      <c r="G10" s="20">
        <f>ABS(100*($B10-G$3)/G$3)</f>
        <v>5.8968350854123956</v>
      </c>
      <c r="H10" s="20">
        <f>ABS(100*($B10-H$3)/H$3)</f>
        <v>4.9038971099279847</v>
      </c>
      <c r="I10" s="20">
        <f>ABS(100*($B10-I$3)/I$3)</f>
        <v>3.5207090147936118</v>
      </c>
      <c r="J10" s="20">
        <f>ABS(100*($B10-J$3)/J$3)</f>
        <v>2.6448234062686189</v>
      </c>
      <c r="K10" s="20">
        <f>ABS(100*($B10-K$3)/K$3)</f>
        <v>0.54128245657410057</v>
      </c>
      <c r="L10" s="20">
        <f>ABS(100*($B10-L$3)/L$3)</f>
        <v>1.2387762827086761</v>
      </c>
      <c r="M10" s="20">
        <f>ABS(100*($B10-M$3)/M$3)</f>
        <v>1.4104172119899414</v>
      </c>
      <c r="N10" s="20">
        <f>ABS(100*($B10-N$3)/N$3)</f>
        <v>18.636010148305623</v>
      </c>
      <c r="O10" s="20">
        <f>ABS(100*($B10-O$3)/O$3)</f>
        <v>12.757005197048557</v>
      </c>
      <c r="P10" s="20">
        <f>ABS(100*($B10-P$3)/P$3)</f>
        <v>12.630878793025028</v>
      </c>
      <c r="Q10" s="20">
        <f>ABS(100*($B10-Q$3)/Q$3)</f>
        <v>14.945211918909104</v>
      </c>
      <c r="R10" s="20">
        <f>ABS(100*($B10-R$3)/R$3)</f>
        <v>13.296208878722215</v>
      </c>
      <c r="S10" s="20">
        <f>ABS(100*($B10-S$3)/S$3)</f>
        <v>12.222909602635129</v>
      </c>
      <c r="T10" s="20">
        <f>ABS(100*($B10-T$3)/T$3)</f>
        <v>10.468464773411272</v>
      </c>
      <c r="U10" s="20">
        <f>ABS(100*($B10-U$3)/U$3)</f>
        <v>11.570089352869113</v>
      </c>
      <c r="V10" s="20">
        <f>ABS(100*($B10-V$3)/V$3)</f>
        <v>12.50503423571438</v>
      </c>
      <c r="W10" s="20">
        <f>ABS(100*($B10-W$3)/W$3)</f>
        <v>11.446602812356804</v>
      </c>
      <c r="X10" s="20">
        <f>ABS(100*($B10-X$3)/X$3)</f>
        <v>7.4334549383455517</v>
      </c>
      <c r="Y10" s="20">
        <f>ABS(100*($B10-Y$3)/Y$3)</f>
        <v>3.9133185149271132</v>
      </c>
      <c r="Z10" s="20">
        <f>ABS(100*($B10-Z$3)/Z$3)</f>
        <v>3.1152131499891054</v>
      </c>
      <c r="AA10" s="20">
        <f>ABS(100*($B10-AA$3)/AA$3)</f>
        <v>10.347403442152736</v>
      </c>
    </row>
    <row r="11" spans="1:27">
      <c r="A11" s="8" t="str">
        <f>MXenes!A10</f>
        <v>Hf2C</v>
      </c>
      <c r="B11" s="18">
        <f>MXenes!D10</f>
        <v>3.1949999999999998</v>
      </c>
      <c r="C11" s="19" t="str">
        <f>MXenes!B10</f>
        <v>single M2C</v>
      </c>
      <c r="D11" s="20">
        <f>ABS(100*($B11-D$3)/D$3)</f>
        <v>28.214645775716896</v>
      </c>
      <c r="E11" s="20">
        <f>ABS(100*($B11-E$3)/E$3)</f>
        <v>27.473123392823979</v>
      </c>
      <c r="F11" s="20">
        <f>ABS(100*($B11-F$3)/F$3)</f>
        <v>24.994116899002439</v>
      </c>
      <c r="G11" s="20">
        <f>ABS(100*($B11-G$3)/G$3)</f>
        <v>18.799293573698247</v>
      </c>
      <c r="H11" s="20">
        <f>ABS(100*($B11-H$3)/H$3)</f>
        <v>17.685376146846878</v>
      </c>
      <c r="I11" s="20">
        <f>ABS(100*($B11-I$3)/I$3)</f>
        <v>16.133660569615724</v>
      </c>
      <c r="J11" s="20">
        <f>ABS(100*($B11-J$3)/J$3)</f>
        <v>15.15105715696216</v>
      </c>
      <c r="K11" s="20">
        <f>ABS(100*($B11-K$3)/K$3)</f>
        <v>11.576756513780108</v>
      </c>
      <c r="L11" s="20">
        <f>ABS(100*($B11-L$3)/L$3)</f>
        <v>10.794280118239389</v>
      </c>
      <c r="M11" s="20">
        <f>ABS(100*($B11-M$3)/M$3)</f>
        <v>10.601726477419993</v>
      </c>
      <c r="N11" s="20">
        <f>ABS(100*($B11-N$3)/N$3)</f>
        <v>8.7226307667965148</v>
      </c>
      <c r="O11" s="20">
        <f>ABS(100*($B11-O$3)/O$3)</f>
        <v>26.495306040930522</v>
      </c>
      <c r="P11" s="20">
        <f>ABS(100*($B11-P$3)/P$3)</f>
        <v>26.353812410012278</v>
      </c>
      <c r="Q11" s="20">
        <f>ABS(100*($B11-Q$3)/Q$3)</f>
        <v>28.950123623916642</v>
      </c>
      <c r="R11" s="20">
        <f>ABS(100*($B11-R$3)/R$3)</f>
        <v>27.10020623859462</v>
      </c>
      <c r="S11" s="20">
        <f>ABS(100*($B11-S$3)/S$3)</f>
        <v>25.896136299304505</v>
      </c>
      <c r="T11" s="20">
        <f>ABS(100*($B11-T$3)/T$3)</f>
        <v>23.92793010921665</v>
      </c>
      <c r="U11" s="20">
        <f>ABS(100*($B11-U$3)/U$3)</f>
        <v>25.163776503657591</v>
      </c>
      <c r="V11" s="20">
        <f>ABS(100*($B11-V$3)/V$3)</f>
        <v>26.212634965978737</v>
      </c>
      <c r="W11" s="20">
        <f>ABS(100*($B11-W$3)/W$3)</f>
        <v>25.025244376924153</v>
      </c>
      <c r="X11" s="20">
        <f>ABS(100*($B11-X$3)/X$3)</f>
        <v>20.523135016858863</v>
      </c>
      <c r="Y11" s="20">
        <f>ABS(100*($B11-Y$3)/Y$3)</f>
        <v>16.574105567132069</v>
      </c>
      <c r="Z11" s="20">
        <f>ABS(100*($B11-Z$3)/Z$3)</f>
        <v>15.678759134204773</v>
      </c>
      <c r="AA11" s="20">
        <f>ABS(100*($B11-AA$3)/AA$3)</f>
        <v>23.792118678959966</v>
      </c>
    </row>
    <row r="12" spans="1:27">
      <c r="A12" s="8" t="str">
        <f>MXenes!A11</f>
        <v>Ta2C</v>
      </c>
      <c r="B12" s="18">
        <f>MXenes!D11</f>
        <v>3.0670000000000002</v>
      </c>
      <c r="C12" s="19" t="str">
        <f>MXenes!B11</f>
        <v>single M2C</v>
      </c>
      <c r="D12" s="20">
        <f>ABS(100*($B12-D$3)/D$3)</f>
        <v>23.078033988771132</v>
      </c>
      <c r="E12" s="20">
        <f>ABS(100*($B12-E$3)/E$3)</f>
        <v>22.36621891887048</v>
      </c>
      <c r="F12" s="20">
        <f>ABS(100*($B12-F$3)/F$3)</f>
        <v>19.986527865176999</v>
      </c>
      <c r="G12" s="20">
        <f>ABS(100*($B12-G$3)/G$3)</f>
        <v>14.039885255252758</v>
      </c>
      <c r="H12" s="20">
        <f>ABS(100*($B12-H$3)/H$3)</f>
        <v>12.970594254265857</v>
      </c>
      <c r="I12" s="20">
        <f>ABS(100*($B12-I$3)/I$3)</f>
        <v>11.481044434119397</v>
      </c>
      <c r="J12" s="20">
        <f>ABS(100*($B12-J$3)/J$3)</f>
        <v>10.537806666792797</v>
      </c>
      <c r="K12" s="20">
        <f>ABS(100*($B12-K$3)/K$3)</f>
        <v>7.1067017927272698</v>
      </c>
      <c r="L12" s="20">
        <f>ABS(100*($B12-L$3)/L$3)</f>
        <v>6.3555734343161934</v>
      </c>
      <c r="M12" s="20">
        <f>ABS(100*($B12-M$3)/M$3)</f>
        <v>6.1707339925656184</v>
      </c>
      <c r="N12" s="20">
        <f>ABS(100*($B12-N$3)/N$3)</f>
        <v>12.379439299456926</v>
      </c>
      <c r="O12" s="20">
        <f>ABS(100*($B12-O$3)/O$3)</f>
        <v>21.427575470276668</v>
      </c>
      <c r="P12" s="20">
        <f>ABS(100*($B12-P$3)/P$3)</f>
        <v>21.291750441786444</v>
      </c>
      <c r="Q12" s="20">
        <f>ABS(100*($B12-Q$3)/Q$3)</f>
        <v>23.784046683740964</v>
      </c>
      <c r="R12" s="20">
        <f>ABS(100*($B12-R$3)/R$3)</f>
        <v>22.008241794607116</v>
      </c>
      <c r="S12" s="20">
        <f>ABS(100*($B12-S$3)/S$3)</f>
        <v>20.852410025028785</v>
      </c>
      <c r="T12" s="20">
        <f>ABS(100*($B12-T$3)/T$3)</f>
        <v>18.963055287939749</v>
      </c>
      <c r="U12" s="20">
        <f>ABS(100*($B12-U$3)/U$3)</f>
        <v>20.149390465326409</v>
      </c>
      <c r="V12" s="20">
        <f>ABS(100*($B12-V$3)/V$3)</f>
        <v>21.156228932912935</v>
      </c>
      <c r="W12" s="20">
        <f>ABS(100*($B12-W$3)/W$3)</f>
        <v>20.016408295469926</v>
      </c>
      <c r="X12" s="20">
        <f>ABS(100*($B12-X$3)/X$3)</f>
        <v>15.69466513198941</v>
      </c>
      <c r="Y12" s="20">
        <f>ABS(100*($B12-Y$3)/Y$3)</f>
        <v>11.90384406084322</v>
      </c>
      <c r="Z12" s="20">
        <f>ABS(100*($B12-Z$3)/Z$3)</f>
        <v>11.044367531958082</v>
      </c>
      <c r="AA12" s="20">
        <f>ABS(100*($B12-AA$3)/AA$3)</f>
        <v>18.832684816391318</v>
      </c>
    </row>
    <row r="13" spans="1:27">
      <c r="A13" s="8" t="str">
        <f>MXenes!A12</f>
        <v>W2C</v>
      </c>
      <c r="B13" s="18">
        <f>MXenes!D12</f>
        <v>2.847</v>
      </c>
      <c r="C13" s="19" t="str">
        <f>MXenes!B12</f>
        <v>single M2C</v>
      </c>
      <c r="D13" s="20">
        <f>ABS(100*($B13-D$3)/D$3)</f>
        <v>14.249482479958065</v>
      </c>
      <c r="E13" s="20">
        <f>ABS(100*($B13-E$3)/E$3)</f>
        <v>13.588726854262873</v>
      </c>
      <c r="F13" s="20">
        <f>ABS(100*($B13-F$3)/F$3)</f>
        <v>11.379734213289501</v>
      </c>
      <c r="G13" s="20">
        <f>ABS(100*($B13-G$3)/G$3)</f>
        <v>5.8596522079245448</v>
      </c>
      <c r="H13" s="20">
        <f>ABS(100*($B13-H$3)/H$3)</f>
        <v>4.8670628763921995</v>
      </c>
      <c r="I13" s="20">
        <f>ABS(100*($B13-I$3)/I$3)</f>
        <v>3.4843604512350503</v>
      </c>
      <c r="J13" s="20">
        <f>ABS(100*($B13-J$3)/J$3)</f>
        <v>2.6087823868141746</v>
      </c>
      <c r="K13" s="20">
        <f>ABS(100*($B13-K$3)/K$3)</f>
        <v>0.57620475908232216</v>
      </c>
      <c r="L13" s="20">
        <f>ABS(100*($B13-L$3)/L$3)</f>
        <v>1.2734536786768225</v>
      </c>
      <c r="M13" s="20">
        <f>ABS(100*($B13-M$3)/M$3)</f>
        <v>1.4450343407778625</v>
      </c>
      <c r="N13" s="20">
        <f>ABS(100*($B13-N$3)/N$3)</f>
        <v>18.664578964967031</v>
      </c>
      <c r="O13" s="20">
        <f>ABS(100*($B13-O$3)/O$3)</f>
        <v>12.717413551965326</v>
      </c>
      <c r="P13" s="20">
        <f>ABS(100*($B13-P$3)/P$3)</f>
        <v>12.591331433898267</v>
      </c>
      <c r="Q13" s="20">
        <f>ABS(100*($B13-Q$3)/Q$3)</f>
        <v>14.904851942813988</v>
      </c>
      <c r="R13" s="20">
        <f>ABS(100*($B13-R$3)/R$3)</f>
        <v>13.256427906503568</v>
      </c>
      <c r="S13" s="20">
        <f>ABS(100*($B13-S$3)/S$3)</f>
        <v>12.183505491117355</v>
      </c>
      <c r="T13" s="20">
        <f>ABS(100*($B13-T$3)/T$3)</f>
        <v>10.429676688870051</v>
      </c>
      <c r="U13" s="20">
        <f>ABS(100*($B13-U$3)/U$3)</f>
        <v>11.530914461944656</v>
      </c>
      <c r="V13" s="20">
        <f>ABS(100*($B13-V$3)/V$3)</f>
        <v>12.465531063581059</v>
      </c>
      <c r="W13" s="20">
        <f>ABS(100*($B13-W$3)/W$3)</f>
        <v>11.407471280470446</v>
      </c>
      <c r="X13" s="20">
        <f>ABS(100*($B13-X$3)/X$3)</f>
        <v>7.3957325173700124</v>
      </c>
      <c r="Y13" s="20">
        <f>ABS(100*($B13-Y$3)/Y$3)</f>
        <v>3.8768320969092356</v>
      </c>
      <c r="Z13" s="20">
        <f>ABS(100*($B13-Z$3)/Z$3)</f>
        <v>3.0790069655965566</v>
      </c>
      <c r="AA13" s="20">
        <f>ABS(100*($B13-AA$3)/AA$3)</f>
        <v>10.308657865101422</v>
      </c>
    </row>
    <row r="14" spans="1:27">
      <c r="A14" s="8" t="str">
        <f>MXenes!A13</f>
        <v>Ti3C2</v>
      </c>
      <c r="B14" s="18">
        <f>MXenes!D13</f>
        <v>3.1040000000000001</v>
      </c>
      <c r="C14" s="19" t="str">
        <f>MXenes!B13</f>
        <v>single M3C2</v>
      </c>
      <c r="D14" s="20">
        <f>ABS(100*($B14-D$3)/D$3)</f>
        <v>24.562835833435141</v>
      </c>
      <c r="E14" s="20">
        <f>ABS(100*($B14-E$3)/E$3)</f>
        <v>23.842433493372663</v>
      </c>
      <c r="F14" s="20">
        <f>ABS(100*($B14-F$3)/F$3)</f>
        <v>21.434034070267167</v>
      </c>
      <c r="G14" s="20">
        <f>ABS(100*($B14-G$3)/G$3)</f>
        <v>15.415651722303407</v>
      </c>
      <c r="H14" s="20">
        <f>ABS(100*($B14-H$3)/H$3)</f>
        <v>14.333460895090059</v>
      </c>
      <c r="I14" s="20">
        <f>ABS(100*($B14-I$3)/I$3)</f>
        <v>12.825941285786303</v>
      </c>
      <c r="J14" s="20">
        <f>ABS(100*($B14-J$3)/J$3)</f>
        <v>11.87132438660738</v>
      </c>
      <c r="K14" s="20">
        <f>ABS(100*($B14-K$3)/K$3)</f>
        <v>8.398826985531608</v>
      </c>
      <c r="L14" s="20">
        <f>ABS(100*($B14-L$3)/L$3)</f>
        <v>7.6386370851377441</v>
      </c>
      <c r="M14" s="20">
        <f>ABS(100*($B14-M$3)/M$3)</f>
        <v>7.4515677577188359</v>
      </c>
      <c r="N14" s="20">
        <f>ABS(100*($B14-N$3)/N$3)</f>
        <v>11.322393082984776</v>
      </c>
      <c r="O14" s="20">
        <f>ABS(100*($B14-O$3)/O$3)</f>
        <v>22.892466338356304</v>
      </c>
      <c r="P14" s="20">
        <f>ABS(100*($B14-P$3)/P$3)</f>
        <v>22.755002729476722</v>
      </c>
      <c r="Q14" s="20">
        <f>ABS(100*($B14-Q$3)/Q$3)</f>
        <v>25.277365799260494</v>
      </c>
      <c r="R14" s="20">
        <f>ABS(100*($B14-R$3)/R$3)</f>
        <v>23.480137766697254</v>
      </c>
      <c r="S14" s="20">
        <f>ABS(100*($B14-S$3)/S$3)</f>
        <v>22.310362151186609</v>
      </c>
      <c r="T14" s="20">
        <f>ABS(100*($B14-T$3)/T$3)</f>
        <v>20.398214415965104</v>
      </c>
      <c r="U14" s="20">
        <f>ABS(100*($B14-U$3)/U$3)</f>
        <v>21.598861429531514</v>
      </c>
      <c r="V14" s="20">
        <f>ABS(100*($B14-V$3)/V$3)</f>
        <v>22.617846301846019</v>
      </c>
      <c r="W14" s="20">
        <f>ABS(100*($B14-W$3)/W$3)</f>
        <v>21.46427497526529</v>
      </c>
      <c r="X14" s="20">
        <f>ABS(100*($B14-X$3)/X$3)</f>
        <v>17.090394708084489</v>
      </c>
      <c r="Y14" s="20">
        <f>ABS(100*($B14-Y$3)/Y$3)</f>
        <v>13.253841527504839</v>
      </c>
      <c r="Z14" s="20">
        <f>ABS(100*($B14-Z$3)/Z$3)</f>
        <v>12.383996354482516</v>
      </c>
      <c r="AA14" s="20">
        <f>ABS(100*($B14-AA$3)/AA$3)</f>
        <v>20.266271167290071</v>
      </c>
    </row>
    <row r="15" spans="1:27">
      <c r="A15" s="8" t="str">
        <f>MXenes!A14</f>
        <v>V3C2</v>
      </c>
      <c r="B15" s="18">
        <f>MXenes!D14</f>
        <v>2.96</v>
      </c>
      <c r="C15" s="19" t="str">
        <f>MXenes!B14</f>
        <v>single M3C2</v>
      </c>
      <c r="D15" s="20">
        <f>ABS(100*($B15-D$3)/D$3)</f>
        <v>18.784147573121135</v>
      </c>
      <c r="E15" s="20">
        <f>ABS(100*($B15-E$3)/E$3)</f>
        <v>18.097165960174959</v>
      </c>
      <c r="F15" s="20">
        <f>ABS(100*($B15-F$3)/F$3)</f>
        <v>15.800496407213529</v>
      </c>
      <c r="G15" s="20">
        <f>ABS(100*($B15-G$3)/G$3)</f>
        <v>10.061317364052213</v>
      </c>
      <c r="H15" s="20">
        <f>ABS(100*($B15-H$3)/H$3)</f>
        <v>9.029331265936392</v>
      </c>
      <c r="I15" s="20">
        <f>ABS(100*($B15-I$3)/I$3)</f>
        <v>7.5917481333529144</v>
      </c>
      <c r="J15" s="20">
        <f>ABS(100*($B15-J$3)/J$3)</f>
        <v>6.6814175851668267</v>
      </c>
      <c r="K15" s="20">
        <f>ABS(100*($B15-K$3)/K$3)</f>
        <v>3.3700154243471463</v>
      </c>
      <c r="L15" s="20">
        <f>ABS(100*($B15-L$3)/L$3)</f>
        <v>2.6450920657241324</v>
      </c>
      <c r="M15" s="20">
        <f>ABS(100*($B15-M$3)/M$3)</f>
        <v>2.4667012122576488</v>
      </c>
      <c r="N15" s="20">
        <f>ABS(100*($B15-N$3)/N$3)</f>
        <v>15.436302682227755</v>
      </c>
      <c r="O15" s="20">
        <f>ABS(100*($B15-O$3)/O$3)</f>
        <v>17.191269446370697</v>
      </c>
      <c r="P15" s="20">
        <f>ABS(100*($B15-P$3)/P$3)</f>
        <v>17.060183015222645</v>
      </c>
      <c r="Q15" s="20">
        <f>ABS(100*($B15-Q$3)/Q$3)</f>
        <v>19.465529241562841</v>
      </c>
      <c r="R15" s="20">
        <f>ABS(100*($B15-R$3)/R$3)</f>
        <v>17.751677767211298</v>
      </c>
      <c r="S15" s="20">
        <f>ABS(100*($B15-S$3)/S$3)</f>
        <v>16.636170092626404</v>
      </c>
      <c r="T15" s="20">
        <f>ABS(100*($B15-T$3)/T$3)</f>
        <v>14.812730242028573</v>
      </c>
      <c r="U15" s="20">
        <f>ABS(100*($B15-U$3)/U$3)</f>
        <v>15.957677136408915</v>
      </c>
      <c r="V15" s="20">
        <f>ABS(100*($B15-V$3)/V$3)</f>
        <v>16.929389514646974</v>
      </c>
      <c r="W15" s="20">
        <f>ABS(100*($B15-W$3)/W$3)</f>
        <v>15.829334383629266</v>
      </c>
      <c r="X15" s="20">
        <f>ABS(100*($B15-X$3)/X$3)</f>
        <v>11.658366087606336</v>
      </c>
      <c r="Y15" s="20">
        <f>ABS(100*($B15-Y$3)/Y$3)</f>
        <v>7.9997973329298677</v>
      </c>
      <c r="Z15" s="20">
        <f>ABS(100*($B15-Z$3)/Z$3)</f>
        <v>7.1703058019549717</v>
      </c>
      <c r="AA15" s="20">
        <f>ABS(100*($B15-AA$3)/AA$3)</f>
        <v>14.686908071900319</v>
      </c>
    </row>
    <row r="16" spans="1:27">
      <c r="A16" s="8" t="str">
        <f>MXenes!A15</f>
        <v>Nb3C2</v>
      </c>
      <c r="B16" s="18">
        <f>MXenes!D15</f>
        <v>3.153</v>
      </c>
      <c r="C16" s="19" t="str">
        <f>MXenes!B15</f>
        <v>single M3C2</v>
      </c>
      <c r="D16" s="20">
        <f>ABS(100*($B16-D$3)/D$3)</f>
        <v>26.529195033125319</v>
      </c>
      <c r="E16" s="20">
        <f>ABS(100*($B16-E$3)/E$3)</f>
        <v>25.797420362307989</v>
      </c>
      <c r="F16" s="20">
        <f>ABS(100*($B16-F$3)/F$3)</f>
        <v>23.351001747278467</v>
      </c>
      <c r="G16" s="20">
        <f>ABS(100*($B16-G$3)/G$3)</f>
        <v>17.237612719208322</v>
      </c>
      <c r="H16" s="20">
        <f>ABS(100*($B16-H$3)/H$3)</f>
        <v>16.138338338343733</v>
      </c>
      <c r="I16" s="20">
        <f>ABS(100*($B16-I$3)/I$3)</f>
        <v>14.607020900155996</v>
      </c>
      <c r="J16" s="20">
        <f>ABS(100*($B16-J$3)/J$3)</f>
        <v>13.637334339875341</v>
      </c>
      <c r="K16" s="20">
        <f>ABS(100*($B16-K$3)/K$3)</f>
        <v>10.110019808434648</v>
      </c>
      <c r="L16" s="20">
        <f>ABS(100*($B16-L$3)/L$3)</f>
        <v>9.3378294875770926</v>
      </c>
      <c r="M16" s="20">
        <f>ABS(100*($B16-M$3)/M$3)</f>
        <v>9.147807068327154</v>
      </c>
      <c r="N16" s="20">
        <f>ABS(100*($B16-N$3)/N$3)</f>
        <v>9.92252106657571</v>
      </c>
      <c r="O16" s="20">
        <f>ABS(100*($B16-O$3)/O$3)</f>
        <v>24.832456947434732</v>
      </c>
      <c r="P16" s="20">
        <f>ABS(100*($B16-P$3)/P$3)</f>
        <v>24.692823326688178</v>
      </c>
      <c r="Q16" s="20">
        <f>ABS(100*($B16-Q$3)/Q$3)</f>
        <v>27.255004627921497</v>
      </c>
      <c r="R16" s="20">
        <f>ABS(100*($B16-R$3)/R$3)</f>
        <v>25.429405405411224</v>
      </c>
      <c r="S16" s="20">
        <f>ABS(100*($B16-S$3)/S$3)</f>
        <v>24.241163615557792</v>
      </c>
      <c r="T16" s="20">
        <f>ABS(100*($B16-T$3)/T$3)</f>
        <v>22.298830558485168</v>
      </c>
      <c r="U16" s="20">
        <f>ABS(100*($B16-U$3)/U$3)</f>
        <v>23.518431084830176</v>
      </c>
      <c r="V16" s="20">
        <f>ABS(100*($B16-V$3)/V$3)</f>
        <v>24.553501736379022</v>
      </c>
      <c r="W16" s="20">
        <f>ABS(100*($B16-W$3)/W$3)</f>
        <v>23.381720037696986</v>
      </c>
      <c r="X16" s="20">
        <f>ABS(100*($B16-X$3)/X$3)</f>
        <v>18.938793335886075</v>
      </c>
      <c r="Y16" s="20">
        <f>ABS(100*($B16-Y$3)/Y$3)</f>
        <v>15.041676010381041</v>
      </c>
      <c r="Z16" s="20">
        <f>ABS(100*($B16-Z$3)/Z$3)</f>
        <v>14.158099389717579</v>
      </c>
      <c r="AA16" s="20">
        <f>ABS(100*($B16-AA$3)/AA$3)</f>
        <v>22.164804442804634</v>
      </c>
    </row>
    <row r="17" spans="1:27">
      <c r="A17" s="8" t="str">
        <f>MXenes!A16</f>
        <v>Mo3C2</v>
      </c>
      <c r="B17" s="18">
        <f>MXenes!D16</f>
        <v>3.0249999999999999</v>
      </c>
      <c r="C17" s="19" t="str">
        <f>MXenes!B16</f>
        <v>single M3C2</v>
      </c>
      <c r="D17" s="20">
        <f>ABS(100*($B17-D$3)/D$3)</f>
        <v>21.392583246179534</v>
      </c>
      <c r="E17" s="20">
        <f>ABS(100*($B17-E$3)/E$3)</f>
        <v>20.690515888354472</v>
      </c>
      <c r="F17" s="20">
        <f>ABS(100*($B17-F$3)/F$3)</f>
        <v>18.343412713453013</v>
      </c>
      <c r="G17" s="20">
        <f>ABS(100*($B17-G$3)/G$3)</f>
        <v>12.478204400762817</v>
      </c>
      <c r="H17" s="20">
        <f>ABS(100*($B17-H$3)/H$3)</f>
        <v>11.423556445762696</v>
      </c>
      <c r="I17" s="20">
        <f>ABS(100*($B17-I$3)/I$3)</f>
        <v>9.9544047646596496</v>
      </c>
      <c r="J17" s="20">
        <f>ABS(100*($B17-J$3)/J$3)</f>
        <v>9.0240838497059599</v>
      </c>
      <c r="K17" s="20">
        <f>ABS(100*($B17-K$3)/K$3)</f>
        <v>5.6399650873817944</v>
      </c>
      <c r="L17" s="20">
        <f>ABS(100*($B17-L$3)/L$3)</f>
        <v>4.8991228036538832</v>
      </c>
      <c r="M17" s="20">
        <f>ABS(100*($B17-M$3)/M$3)</f>
        <v>4.7168145834727637</v>
      </c>
      <c r="N17" s="20">
        <f>ABS(100*($B17-N$3)/N$3)</f>
        <v>13.579329599236134</v>
      </c>
      <c r="O17" s="20">
        <f>ABS(100*($B17-O$3)/O$3)</f>
        <v>19.76472637678086</v>
      </c>
      <c r="P17" s="20">
        <f>ABS(100*($B17-P$3)/P$3)</f>
        <v>19.63076135846233</v>
      </c>
      <c r="Q17" s="20">
        <f>ABS(100*($B17-Q$3)/Q$3)</f>
        <v>22.088927687745805</v>
      </c>
      <c r="R17" s="20">
        <f>ABS(100*($B17-R$3)/R$3)</f>
        <v>20.337440961423706</v>
      </c>
      <c r="S17" s="20">
        <f>ABS(100*($B17-S$3)/S$3)</f>
        <v>19.19743734128205</v>
      </c>
      <c r="T17" s="20">
        <f>ABS(100*($B17-T$3)/T$3)</f>
        <v>17.333955737208253</v>
      </c>
      <c r="U17" s="20">
        <f>ABS(100*($B17-U$3)/U$3)</f>
        <v>18.504045046498977</v>
      </c>
      <c r="V17" s="20">
        <f>ABS(100*($B17-V$3)/V$3)</f>
        <v>19.497095703313203</v>
      </c>
      <c r="W17" s="20">
        <f>ABS(100*($B17-W$3)/W$3)</f>
        <v>18.372883956242745</v>
      </c>
      <c r="X17" s="20">
        <f>ABS(100*($B17-X$3)/X$3)</f>
        <v>14.110323451016608</v>
      </c>
      <c r="Y17" s="20">
        <f>ABS(100*($B17-Y$3)/Y$3)</f>
        <v>10.371414504092177</v>
      </c>
      <c r="Z17" s="20">
        <f>ABS(100*($B17-Z$3)/Z$3)</f>
        <v>9.5237077874708742</v>
      </c>
      <c r="AA17" s="20">
        <f>ABS(100*($B17-AA$3)/AA$3)</f>
        <v>17.205370580235964</v>
      </c>
    </row>
    <row r="18" spans="1:27">
      <c r="A18" s="8" t="str">
        <f>MXenes!A17</f>
        <v>Ti4C3</v>
      </c>
      <c r="B18" s="18">
        <f>MXenes!D17</f>
        <v>3.09</v>
      </c>
      <c r="C18" s="19" t="str">
        <f>MXenes!B17</f>
        <v>single M4C3</v>
      </c>
      <c r="D18" s="20">
        <f>ABS(100*($B18-D$3)/D$3)</f>
        <v>24.001018919237936</v>
      </c>
      <c r="E18" s="20">
        <f>ABS(100*($B18-E$3)/E$3)</f>
        <v>23.283865816533989</v>
      </c>
      <c r="F18" s="20">
        <f>ABS(100*($B18-F$3)/F$3)</f>
        <v>20.8863290196925</v>
      </c>
      <c r="G18" s="20">
        <f>ABS(100*($B18-G$3)/G$3)</f>
        <v>14.895091437473424</v>
      </c>
      <c r="H18" s="20">
        <f>ABS(100*($B18-H$3)/H$3)</f>
        <v>13.817781625588999</v>
      </c>
      <c r="I18" s="20">
        <f>ABS(100*($B18-I$3)/I$3)</f>
        <v>12.317061395966384</v>
      </c>
      <c r="J18" s="20">
        <f>ABS(100*($B18-J$3)/J$3)</f>
        <v>11.366750114245097</v>
      </c>
      <c r="K18" s="20">
        <f>ABS(100*($B18-K$3)/K$3)</f>
        <v>7.9099147504164424</v>
      </c>
      <c r="L18" s="20">
        <f>ABS(100*($B18-L$3)/L$3)</f>
        <v>7.1531535415836336</v>
      </c>
      <c r="M18" s="20">
        <f>ABS(100*($B18-M$3)/M$3)</f>
        <v>6.96692795468788</v>
      </c>
      <c r="N18" s="20">
        <f>ABS(100*($B18-N$3)/N$3)</f>
        <v>11.722356516244515</v>
      </c>
      <c r="O18" s="20">
        <f>ABS(100*($B18-O$3)/O$3)</f>
        <v>22.338183307191024</v>
      </c>
      <c r="P18" s="20">
        <f>ABS(100*($B18-P$3)/P$3)</f>
        <v>22.201339701702015</v>
      </c>
      <c r="Q18" s="20">
        <f>ABS(100*($B18-Q$3)/Q$3)</f>
        <v>24.712326133928769</v>
      </c>
      <c r="R18" s="20">
        <f>ABS(100*($B18-R$3)/R$3)</f>
        <v>22.92320415563611</v>
      </c>
      <c r="S18" s="20">
        <f>ABS(100*($B18-S$3)/S$3)</f>
        <v>21.758704589937693</v>
      </c>
      <c r="T18" s="20">
        <f>ABS(100*($B18-T$3)/T$3)</f>
        <v>19.855181232387935</v>
      </c>
      <c r="U18" s="20">
        <f>ABS(100*($B18-U$3)/U$3)</f>
        <v>21.050412956589032</v>
      </c>
      <c r="V18" s="20">
        <f>ABS(100*($B18-V$3)/V$3)</f>
        <v>22.064801891979435</v>
      </c>
      <c r="W18" s="20">
        <f>ABS(100*($B18-W$3)/W$3)</f>
        <v>20.916433528856221</v>
      </c>
      <c r="X18" s="20">
        <f>ABS(100*($B18-X$3)/X$3)</f>
        <v>16.562280814426881</v>
      </c>
      <c r="Y18" s="20">
        <f>ABS(100*($B18-Y$3)/Y$3)</f>
        <v>12.743031675254489</v>
      </c>
      <c r="Z18" s="20">
        <f>ABS(100*($B18-Z$3)/Z$3)</f>
        <v>11.877109772986776</v>
      </c>
      <c r="AA18" s="20">
        <f>ABS(100*($B18-AA$3)/AA$3)</f>
        <v>19.723833088571613</v>
      </c>
    </row>
    <row r="19" spans="1:27">
      <c r="A19" s="8" t="str">
        <f>MXenes!A18</f>
        <v>Nb4C3</v>
      </c>
      <c r="B19" s="18">
        <f>MXenes!D18</f>
        <v>3.13</v>
      </c>
      <c r="C19" s="19" t="str">
        <f>MXenes!B18</f>
        <v>single M4C3</v>
      </c>
      <c r="D19" s="20">
        <f>ABS(100*($B19-D$3)/D$3)</f>
        <v>25.606210102658494</v>
      </c>
      <c r="E19" s="20">
        <f>ABS(100*($B19-E$3)/E$3)</f>
        <v>24.879773464644462</v>
      </c>
      <c r="F19" s="20">
        <f>ABS(100*($B19-F$3)/F$3)</f>
        <v>22.451200592762952</v>
      </c>
      <c r="G19" s="20">
        <f>ABS(100*($B19-G$3)/G$3)</f>
        <v>16.382406536987641</v>
      </c>
      <c r="H19" s="20">
        <f>ABS(100*($B19-H$3)/H$3)</f>
        <v>15.291150967020574</v>
      </c>
      <c r="I19" s="20">
        <f>ABS(100*($B19-I$3)/I$3)</f>
        <v>13.771003938308992</v>
      </c>
      <c r="J19" s="20">
        <f>ABS(100*($B19-J$3)/J$3)</f>
        <v>12.808390892423027</v>
      </c>
      <c r="K19" s="20">
        <f>ABS(100*($B19-K$3)/K$3)</f>
        <v>9.3068068507454598</v>
      </c>
      <c r="L19" s="20">
        <f>ABS(100*($B19-L$3)/L$3)</f>
        <v>8.5402493803096373</v>
      </c>
      <c r="M19" s="20">
        <f>ABS(100*($B19-M$3)/M$3)</f>
        <v>8.3516131062048764</v>
      </c>
      <c r="N19" s="20">
        <f>ABS(100*($B19-N$3)/N$3)</f>
        <v>10.579603849788134</v>
      </c>
      <c r="O19" s="20">
        <f>ABS(100*($B19-O$3)/O$3)</f>
        <v>23.921849110520363</v>
      </c>
      <c r="P19" s="20">
        <f>ABS(100*($B19-P$3)/P$3)</f>
        <v>23.783234066772589</v>
      </c>
      <c r="Q19" s="20">
        <f>ABS(100*($B19-Q$3)/Q$3)</f>
        <v>26.326725177733675</v>
      </c>
      <c r="R19" s="20">
        <f>ABS(100*($B19-R$3)/R$3)</f>
        <v>24.514443044382212</v>
      </c>
      <c r="S19" s="20">
        <f>ABS(100*($B19-S$3)/S$3)</f>
        <v>23.334869050648862</v>
      </c>
      <c r="T19" s="20">
        <f>ABS(100*($B19-T$3)/T$3)</f>
        <v>21.406704614036968</v>
      </c>
      <c r="U19" s="20">
        <f>ABS(100*($B19-U$3)/U$3)</f>
        <v>22.617408593567532</v>
      </c>
      <c r="V19" s="20">
        <f>ABS(100*($B19-V$3)/V$3)</f>
        <v>23.644928777312504</v>
      </c>
      <c r="W19" s="20">
        <f>ABS(100*($B19-W$3)/W$3)</f>
        <v>22.481694804310674</v>
      </c>
      <c r="X19" s="20">
        <f>ABS(100*($B19-X$3)/X$3)</f>
        <v>18.07117765344859</v>
      </c>
      <c r="Y19" s="20">
        <f>ABS(100*($B19-Y$3)/Y$3)</f>
        <v>14.202488395969757</v>
      </c>
      <c r="Z19" s="20">
        <f>ABS(100*($B19-Z$3)/Z$3)</f>
        <v>13.32535714868887</v>
      </c>
      <c r="AA19" s="20">
        <f>ABS(100*($B19-AA$3)/AA$3)</f>
        <v>21.273656170624321</v>
      </c>
    </row>
    <row r="20" spans="1:27">
      <c r="A20" s="8" t="str">
        <f>MXenes!A19</f>
        <v>Mo2TiC2</v>
      </c>
      <c r="B20" s="18">
        <f>MXenes!D19</f>
        <v>3.1669999999999998</v>
      </c>
      <c r="C20" s="19" t="str">
        <f>MXenes!B19</f>
        <v>ordered DTM</v>
      </c>
      <c r="D20" s="20">
        <f>ABS(100*($B20-D$3)/D$3)</f>
        <v>27.091011947322503</v>
      </c>
      <c r="E20" s="20">
        <f>ABS(100*($B20-E$3)/E$3)</f>
        <v>26.355988039146645</v>
      </c>
      <c r="F20" s="20">
        <f>ABS(100*($B20-F$3)/F$3)</f>
        <v>23.898706797853119</v>
      </c>
      <c r="G20" s="20">
        <f>ABS(100*($B20-G$3)/G$3)</f>
        <v>17.758173004038291</v>
      </c>
      <c r="H20" s="20">
        <f>ABS(100*($B20-H$3)/H$3)</f>
        <v>16.654017607844779</v>
      </c>
      <c r="I20" s="20">
        <f>ABS(100*($B20-I$3)/I$3)</f>
        <v>15.115900789975901</v>
      </c>
      <c r="J20" s="20">
        <f>ABS(100*($B20-J$3)/J$3)</f>
        <v>14.141908612237609</v>
      </c>
      <c r="K20" s="20">
        <f>ABS(100*($B20-K$3)/K$3)</f>
        <v>10.598932043549796</v>
      </c>
      <c r="L20" s="20">
        <f>ABS(100*($B20-L$3)/L$3)</f>
        <v>9.8233130311311854</v>
      </c>
      <c r="M20" s="20">
        <f>ABS(100*($B20-M$3)/M$3)</f>
        <v>9.6324468713580949</v>
      </c>
      <c r="N20" s="20">
        <f>ABS(100*($B20-N$3)/N$3)</f>
        <v>9.5225576333159818</v>
      </c>
      <c r="O20" s="20">
        <f>ABS(100*($B20-O$3)/O$3)</f>
        <v>25.386739978599991</v>
      </c>
      <c r="P20" s="20">
        <f>ABS(100*($B20-P$3)/P$3)</f>
        <v>25.246486354462871</v>
      </c>
      <c r="Q20" s="20">
        <f>ABS(100*($B20-Q$3)/Q$3)</f>
        <v>27.820044293253211</v>
      </c>
      <c r="R20" s="20">
        <f>ABS(100*($B20-R$3)/R$3)</f>
        <v>25.986339016472353</v>
      </c>
      <c r="S20" s="20">
        <f>ABS(100*($B20-S$3)/S$3)</f>
        <v>24.79282117680669</v>
      </c>
      <c r="T20" s="20">
        <f>ABS(100*($B20-T$3)/T$3)</f>
        <v>22.841863742062323</v>
      </c>
      <c r="U20" s="20">
        <f>ABS(100*($B20-U$3)/U$3)</f>
        <v>24.066879557772641</v>
      </c>
      <c r="V20" s="20">
        <f>ABS(100*($B20-V$3)/V$3)</f>
        <v>25.106546146245591</v>
      </c>
      <c r="W20" s="20">
        <f>ABS(100*($B20-W$3)/W$3)</f>
        <v>23.929561484106035</v>
      </c>
      <c r="X20" s="20">
        <f>ABS(100*($B20-X$3)/X$3)</f>
        <v>19.466907229543665</v>
      </c>
      <c r="Y20" s="20">
        <f>ABS(100*($B20-Y$3)/Y$3)</f>
        <v>15.552485862631379</v>
      </c>
      <c r="Z20" s="20">
        <f>ABS(100*($B20-Z$3)/Z$3)</f>
        <v>14.664985971213305</v>
      </c>
      <c r="AA20" s="20">
        <f>ABS(100*($B20-AA$3)/AA$3)</f>
        <v>22.707242521523071</v>
      </c>
    </row>
    <row r="21" spans="1:27">
      <c r="A21" s="8" t="str">
        <f>MXenes!A20</f>
        <v>Mo2VC2</v>
      </c>
      <c r="B21" s="18">
        <f>MXenes!D20</f>
        <v>3.18</v>
      </c>
      <c r="C21" s="19" t="str">
        <f>MXenes!B20</f>
        <v>ordered DTM</v>
      </c>
      <c r="D21" s="20">
        <f>ABS(100*($B21-D$3)/D$3)</f>
        <v>27.612699081934199</v>
      </c>
      <c r="E21" s="20">
        <f>ABS(100*($B21-E$3)/E$3)</f>
        <v>26.874658024782565</v>
      </c>
      <c r="F21" s="20">
        <f>ABS(100*($B21-F$3)/F$3)</f>
        <v>24.40729005910103</v>
      </c>
      <c r="G21" s="20">
        <f>ABS(100*($B21-G$3)/G$3)</f>
        <v>18.241550411380427</v>
      </c>
      <c r="H21" s="20">
        <f>ABS(100*($B21-H$3)/H$3)</f>
        <v>17.13286264381005</v>
      </c>
      <c r="I21" s="20">
        <f>ABS(100*($B21-I$3)/I$3)</f>
        <v>15.588432116237261</v>
      </c>
      <c r="J21" s="20">
        <f>ABS(100*($B21-J$3)/J$3)</f>
        <v>14.61044186514545</v>
      </c>
      <c r="K21" s="20">
        <f>ABS(100*($B21-K$3)/K$3)</f>
        <v>11.052921976156739</v>
      </c>
      <c r="L21" s="20">
        <f>ABS(100*($B21-L$3)/L$3)</f>
        <v>10.274119178717148</v>
      </c>
      <c r="M21" s="20">
        <f>ABS(100*($B21-M$3)/M$3)</f>
        <v>10.082469545601128</v>
      </c>
      <c r="N21" s="20">
        <f>ABS(100*($B21-N$3)/N$3)</f>
        <v>9.1511630167176481</v>
      </c>
      <c r="O21" s="20">
        <f>ABS(100*($B21-O$3)/O$3)</f>
        <v>25.90143136468204</v>
      </c>
      <c r="P21" s="20">
        <f>ABS(100*($B21-P$3)/P$3)</f>
        <v>25.76060202311082</v>
      </c>
      <c r="Q21" s="20">
        <f>ABS(100*($B21-Q$3)/Q$3)</f>
        <v>28.344723982489814</v>
      </c>
      <c r="R21" s="20">
        <f>ABS(100*($B21-R$3)/R$3)</f>
        <v>26.503491655314846</v>
      </c>
      <c r="S21" s="20">
        <f>ABS(100*($B21-S$3)/S$3)</f>
        <v>25.305074626537834</v>
      </c>
      <c r="T21" s="20">
        <f>ABS(100*($B21-T$3)/T$3)</f>
        <v>23.346108841098271</v>
      </c>
      <c r="U21" s="20">
        <f>ABS(100*($B21-U$3)/U$3)</f>
        <v>24.576153139790666</v>
      </c>
      <c r="V21" s="20">
        <f>ABS(100*($B21-V$3)/V$3)</f>
        <v>25.620087383978849</v>
      </c>
      <c r="W21" s="20">
        <f>ABS(100*($B21-W$3)/W$3)</f>
        <v>24.438271398628746</v>
      </c>
      <c r="X21" s="20">
        <f>ABS(100*($B21-X$3)/X$3)</f>
        <v>19.957298702225732</v>
      </c>
      <c r="Y21" s="20">
        <f>ABS(100*($B21-Y$3)/Y$3)</f>
        <v>16.026809296863853</v>
      </c>
      <c r="Z21" s="20">
        <f>ABS(100*($B21-Z$3)/Z$3)</f>
        <v>15.135666368316498</v>
      </c>
      <c r="AA21" s="20">
        <f>ABS(100*($B21-AA$3)/AA$3)</f>
        <v>23.210935023190213</v>
      </c>
    </row>
    <row r="22" spans="1:27">
      <c r="A22" s="8" t="str">
        <f>MXenes!A21</f>
        <v>Mo2NbC2</v>
      </c>
      <c r="B22" s="18">
        <f>MXenes!D21</f>
        <v>3.282</v>
      </c>
      <c r="C22" s="19" t="str">
        <f>MXenes!B21</f>
        <v>ordered DTM</v>
      </c>
      <c r="D22" s="20">
        <f>ABS(100*($B22-D$3)/D$3)</f>
        <v>31.705936599656614</v>
      </c>
      <c r="E22" s="20">
        <f>ABS(100*($B22-E$3)/E$3)</f>
        <v>30.944222527464266</v>
      </c>
      <c r="F22" s="20">
        <f>ABS(100*($B22-F$3)/F$3)</f>
        <v>28.397712570430681</v>
      </c>
      <c r="G22" s="20">
        <f>ABS(100*($B22-G$3)/G$3)</f>
        <v>22.034203915141681</v>
      </c>
      <c r="H22" s="20">
        <f>ABS(100*($B22-H$3)/H$3)</f>
        <v>20.889954464460555</v>
      </c>
      <c r="I22" s="20">
        <f>ABS(100*($B22-I$3)/I$3)</f>
        <v>19.295985599210905</v>
      </c>
      <c r="J22" s="20">
        <f>ABS(100*($B22-J$3)/J$3)</f>
        <v>18.286625849499167</v>
      </c>
      <c r="K22" s="20">
        <f>ABS(100*($B22-K$3)/K$3)</f>
        <v>14.614996831995724</v>
      </c>
      <c r="L22" s="20">
        <f>ABS(100*($B22-L$3)/L$3)</f>
        <v>13.811213567468448</v>
      </c>
      <c r="M22" s="20">
        <f>ABS(100*($B22-M$3)/M$3)</f>
        <v>13.613416681969463</v>
      </c>
      <c r="N22" s="20">
        <f>ABS(100*($B22-N$3)/N$3)</f>
        <v>6.2371437172538782</v>
      </c>
      <c r="O22" s="20">
        <f>ABS(100*($B22-O$3)/O$3)</f>
        <v>29.939779163171835</v>
      </c>
      <c r="P22" s="20">
        <f>ABS(100*($B22-P$3)/P$3)</f>
        <v>29.794432654040786</v>
      </c>
      <c r="Q22" s="20">
        <f>ABS(100*($B22-Q$3)/Q$3)</f>
        <v>32.461441544192311</v>
      </c>
      <c r="R22" s="20">
        <f>ABS(100*($B22-R$3)/R$3)</f>
        <v>30.561150821617392</v>
      </c>
      <c r="S22" s="20">
        <f>ABS(100*($B22-S$3)/S$3)</f>
        <v>29.324294001351301</v>
      </c>
      <c r="T22" s="20">
        <f>ABS(100*($B22-T$3)/T$3)</f>
        <v>27.302493464303307</v>
      </c>
      <c r="U22" s="20">
        <f>ABS(100*($B22-U$3)/U$3)</f>
        <v>28.571992014085833</v>
      </c>
      <c r="V22" s="20">
        <f>ABS(100*($B22-V$3)/V$3)</f>
        <v>29.649410941578164</v>
      </c>
      <c r="W22" s="20">
        <f>ABS(100*($B22-W$3)/W$3)</f>
        <v>28.42968765103759</v>
      </c>
      <c r="X22" s="20">
        <f>ABS(100*($B22-X$3)/X$3)</f>
        <v>23.804985641731083</v>
      </c>
      <c r="Y22" s="20">
        <f>ABS(100*($B22-Y$3)/Y$3)</f>
        <v>19.748423934687782</v>
      </c>
      <c r="Z22" s="20">
        <f>ABS(100*($B22-Z$3)/Z$3)</f>
        <v>18.828697176356833</v>
      </c>
      <c r="AA22" s="20">
        <f>ABS(100*($B22-AA$3)/AA$3)</f>
        <v>27.162983882424612</v>
      </c>
    </row>
    <row r="23" spans="1:27">
      <c r="A23" s="8" t="str">
        <f>MXenes!A22</f>
        <v>Mo2TaC2</v>
      </c>
      <c r="B23" s="18">
        <f>MXenes!D22</f>
        <v>3.1339999999999999</v>
      </c>
      <c r="C23" s="19" t="str">
        <f>MXenes!B22</f>
        <v>ordered DTM</v>
      </c>
      <c r="D23" s="20">
        <f>ABS(100*($B23-D$3)/D$3)</f>
        <v>25.766729221000553</v>
      </c>
      <c r="E23" s="20">
        <f>ABS(100*($B23-E$3)/E$3)</f>
        <v>25.039364229455511</v>
      </c>
      <c r="F23" s="20">
        <f>ABS(100*($B23-F$3)/F$3)</f>
        <v>22.607687750069999</v>
      </c>
      <c r="G23" s="20">
        <f>ABS(100*($B23-G$3)/G$3)</f>
        <v>16.531138046939063</v>
      </c>
      <c r="H23" s="20">
        <f>ABS(100*($B23-H$3)/H$3)</f>
        <v>15.438487901163731</v>
      </c>
      <c r="I23" s="20">
        <f>ABS(100*($B23-I$3)/I$3)</f>
        <v>13.916398192543252</v>
      </c>
      <c r="J23" s="20">
        <f>ABS(100*($B23-J$3)/J$3)</f>
        <v>12.95255497024082</v>
      </c>
      <c r="K23" s="20">
        <f>ABS(100*($B23-K$3)/K$3)</f>
        <v>9.4464960607783617</v>
      </c>
      <c r="L23" s="20">
        <f>ABS(100*($B23-L$3)/L$3)</f>
        <v>8.6789589641822378</v>
      </c>
      <c r="M23" s="20">
        <f>ABS(100*($B23-M$3)/M$3)</f>
        <v>8.4900816213565768</v>
      </c>
      <c r="N23" s="20">
        <f>ABS(100*($B23-N$3)/N$3)</f>
        <v>10.465328583142496</v>
      </c>
      <c r="O23" s="20">
        <f>ABS(100*($B23-O$3)/O$3)</f>
        <v>24.080215690853294</v>
      </c>
      <c r="P23" s="20">
        <f>ABS(100*($B23-P$3)/P$3)</f>
        <v>23.941423503279651</v>
      </c>
      <c r="Q23" s="20">
        <f>ABS(100*($B23-Q$3)/Q$3)</f>
        <v>26.488165082114165</v>
      </c>
      <c r="R23" s="20">
        <f>ABS(100*($B23-R$3)/R$3)</f>
        <v>24.673566933256822</v>
      </c>
      <c r="S23" s="20">
        <f>ABS(100*($B23-S$3)/S$3)</f>
        <v>23.492485496719979</v>
      </c>
      <c r="T23" s="20">
        <f>ABS(100*($B23-T$3)/T$3)</f>
        <v>21.561856952201875</v>
      </c>
      <c r="U23" s="20">
        <f>ABS(100*($B23-U$3)/U$3)</f>
        <v>22.774108157265381</v>
      </c>
      <c r="V23" s="20">
        <f>ABS(100*($B23-V$3)/V$3)</f>
        <v>23.802941465845812</v>
      </c>
      <c r="W23" s="20">
        <f>ABS(100*($B23-W$3)/W$3)</f>
        <v>22.638220931856118</v>
      </c>
      <c r="X23" s="20">
        <f>ABS(100*($B23-X$3)/X$3)</f>
        <v>18.222067337350762</v>
      </c>
      <c r="Y23" s="20">
        <f>ABS(100*($B23-Y$3)/Y$3)</f>
        <v>14.348434068041286</v>
      </c>
      <c r="Z23" s="20">
        <f>ABS(100*($B23-Z$3)/Z$3)</f>
        <v>13.470181886259082</v>
      </c>
      <c r="AA23" s="20">
        <f>ABS(100*($B23-AA$3)/AA$3)</f>
        <v>21.42863847882959</v>
      </c>
    </row>
    <row r="24" spans="1:27">
      <c r="A24" s="8" t="str">
        <f>MXenes!A23</f>
        <v>Cr2TiC2</v>
      </c>
      <c r="B24" s="18">
        <f>MXenes!D23</f>
        <v>3.0350000000000001</v>
      </c>
      <c r="C24" s="19" t="str">
        <f>MXenes!B23</f>
        <v>ordered DTM</v>
      </c>
      <c r="D24" s="20">
        <f>ABS(100*($B24-D$3)/D$3)</f>
        <v>21.793881042034684</v>
      </c>
      <c r="E24" s="20">
        <f>ABS(100*($B24-E$3)/E$3)</f>
        <v>21.0894928003821</v>
      </c>
      <c r="F24" s="20">
        <f>ABS(100*($B24-F$3)/F$3)</f>
        <v>18.734630606720636</v>
      </c>
      <c r="G24" s="20">
        <f>ABS(100*($B24-G$3)/G$3)</f>
        <v>12.850033175641382</v>
      </c>
      <c r="H24" s="20">
        <f>ABS(100*($B24-H$3)/H$3)</f>
        <v>11.791898781120597</v>
      </c>
      <c r="I24" s="20">
        <f>ABS(100*($B24-I$3)/I$3)</f>
        <v>10.317890400245309</v>
      </c>
      <c r="J24" s="20">
        <f>ABS(100*($B24-J$3)/J$3)</f>
        <v>9.3844940442504523</v>
      </c>
      <c r="K24" s="20">
        <f>ABS(100*($B24-K$3)/K$3)</f>
        <v>5.9891881124640562</v>
      </c>
      <c r="L24" s="20">
        <f>ABS(100*($B24-L$3)/L$3)</f>
        <v>5.2458967633353915</v>
      </c>
      <c r="M24" s="20">
        <f>ABS(100*($B24-M$3)/M$3)</f>
        <v>5.0629858713520211</v>
      </c>
      <c r="N24" s="20">
        <f>ABS(100*($B24-N$3)/N$3)</f>
        <v>13.293641432622032</v>
      </c>
      <c r="O24" s="20">
        <f>ABS(100*($B24-O$3)/O$3)</f>
        <v>20.160642827613202</v>
      </c>
      <c r="P24" s="20">
        <f>ABS(100*($B24-P$3)/P$3)</f>
        <v>20.026234949729982</v>
      </c>
      <c r="Q24" s="20">
        <f>ABS(100*($B24-Q$3)/Q$3)</f>
        <v>22.492527448697039</v>
      </c>
      <c r="R24" s="20">
        <f>ABS(100*($B24-R$3)/R$3)</f>
        <v>20.735250683610239</v>
      </c>
      <c r="S24" s="20">
        <f>ABS(100*($B24-S$3)/S$3)</f>
        <v>19.59147845645985</v>
      </c>
      <c r="T24" s="20">
        <f>ABS(100*($B24-T$3)/T$3)</f>
        <v>17.721836582620522</v>
      </c>
      <c r="U24" s="20">
        <f>ABS(100*($B24-U$3)/U$3)</f>
        <v>18.895793955743606</v>
      </c>
      <c r="V24" s="20">
        <f>ABS(100*($B24-V$3)/V$3)</f>
        <v>19.892127424646478</v>
      </c>
      <c r="W24" s="20">
        <f>ABS(100*($B24-W$3)/W$3)</f>
        <v>18.764199275106364</v>
      </c>
      <c r="X24" s="20">
        <f>ABS(100*($B24-X$3)/X$3)</f>
        <v>14.487547660772044</v>
      </c>
      <c r="Y24" s="20">
        <f>ABS(100*($B24-Y$3)/Y$3)</f>
        <v>10.736278684271005</v>
      </c>
      <c r="Z24" s="20">
        <f>ABS(100*($B24-Z$3)/Z$3)</f>
        <v>9.885769631396407</v>
      </c>
      <c r="AA24" s="20">
        <f>ABS(100*($B24-AA$3)/AA$3)</f>
        <v>17.592826350749149</v>
      </c>
    </row>
    <row r="25" spans="1:27">
      <c r="A25" s="8" t="str">
        <f>MXenes!A24</f>
        <v>Cr2VC2</v>
      </c>
      <c r="B25" s="18">
        <f>MXenes!D24</f>
        <v>3.06</v>
      </c>
      <c r="C25" s="19" t="str">
        <f>MXenes!B24</f>
        <v>ordered DTM</v>
      </c>
      <c r="D25" s="20">
        <f>ABS(100*($B25-D$3)/D$3)</f>
        <v>22.797125531672528</v>
      </c>
      <c r="E25" s="20">
        <f>ABS(100*($B25-E$3)/E$3)</f>
        <v>22.086935080451141</v>
      </c>
      <c r="F25" s="20">
        <f>ABS(100*($B25-F$3)/F$3)</f>
        <v>19.712675339889664</v>
      </c>
      <c r="G25" s="20">
        <f>ABS(100*($B25-G$3)/G$3)</f>
        <v>13.779605112837764</v>
      </c>
      <c r="H25" s="20">
        <f>ABS(100*($B25-H$3)/H$3)</f>
        <v>12.712754619515326</v>
      </c>
      <c r="I25" s="20">
        <f>ABS(100*($B25-I$3)/I$3)</f>
        <v>11.226604489209436</v>
      </c>
      <c r="J25" s="20">
        <f>ABS(100*($B25-J$3)/J$3)</f>
        <v>10.285519530611655</v>
      </c>
      <c r="K25" s="20">
        <f>ABS(100*($B25-K$3)/K$3)</f>
        <v>6.8622456751696879</v>
      </c>
      <c r="L25" s="20">
        <f>ABS(100*($B25-L$3)/L$3)</f>
        <v>6.1128316625391399</v>
      </c>
      <c r="M25" s="20">
        <f>ABS(100*($B25-M$3)/M$3)</f>
        <v>5.9284140910501408</v>
      </c>
      <c r="N25" s="20">
        <f>ABS(100*($B25-N$3)/N$3)</f>
        <v>12.579421016086796</v>
      </c>
      <c r="O25" s="20">
        <f>ABS(100*($B25-O$3)/O$3)</f>
        <v>21.150433954694034</v>
      </c>
      <c r="P25" s="20">
        <f>ABS(100*($B25-P$3)/P$3)</f>
        <v>21.014918927899089</v>
      </c>
      <c r="Q25" s="20">
        <f>ABS(100*($B25-Q$3)/Q$3)</f>
        <v>23.501526851075102</v>
      </c>
      <c r="R25" s="20">
        <f>ABS(100*($B25-R$3)/R$3)</f>
        <v>21.729774989076546</v>
      </c>
      <c r="S25" s="20">
        <f>ABS(100*($B25-S$3)/S$3)</f>
        <v>20.576581244404327</v>
      </c>
      <c r="T25" s="20">
        <f>ABS(100*($B25-T$3)/T$3)</f>
        <v>18.691538696151163</v>
      </c>
      <c r="U25" s="20">
        <f>ABS(100*($B25-U$3)/U$3)</f>
        <v>19.875166228855168</v>
      </c>
      <c r="V25" s="20">
        <f>ABS(100*($B25-V$3)/V$3)</f>
        <v>20.879706727979645</v>
      </c>
      <c r="W25" s="20">
        <f>ABS(100*($B25-W$3)/W$3)</f>
        <v>19.742487572265393</v>
      </c>
      <c r="X25" s="20">
        <f>ABS(100*($B25-X$3)/X$3)</f>
        <v>15.430608185160608</v>
      </c>
      <c r="Y25" s="20">
        <f>ABS(100*($B25-Y$3)/Y$3)</f>
        <v>11.648439134718043</v>
      </c>
      <c r="Z25" s="20">
        <f>ABS(100*($B25-Z$3)/Z$3)</f>
        <v>10.790924241210211</v>
      </c>
      <c r="AA25" s="20">
        <f>ABS(100*($B25-AA$3)/AA$3)</f>
        <v>18.56146577703209</v>
      </c>
    </row>
    <row r="26" spans="1:27">
      <c r="A26" s="8" t="str">
        <f>MXenes!A25</f>
        <v>Cr2NbC2</v>
      </c>
      <c r="B26" s="18">
        <f>MXenes!D25</f>
        <v>3.1749999999999998</v>
      </c>
      <c r="C26" s="19" t="str">
        <f>MXenes!B25</f>
        <v>ordered DTM</v>
      </c>
      <c r="D26" s="20">
        <f>ABS(100*($B26-D$3)/D$3)</f>
        <v>27.41205018400662</v>
      </c>
      <c r="E26" s="20">
        <f>ABS(100*($B26-E$3)/E$3)</f>
        <v>26.675169568768744</v>
      </c>
      <c r="F26" s="20">
        <f>ABS(100*($B26-F$3)/F$3)</f>
        <v>24.211681112467208</v>
      </c>
      <c r="G26" s="20">
        <f>ABS(100*($B26-G$3)/G$3)</f>
        <v>18.055636023941137</v>
      </c>
      <c r="H26" s="20">
        <f>ABS(100*($B26-H$3)/H$3)</f>
        <v>16.948691476131092</v>
      </c>
      <c r="I26" s="20">
        <f>ABS(100*($B26-I$3)/I$3)</f>
        <v>15.406689298444421</v>
      </c>
      <c r="J26" s="20">
        <f>ABS(100*($B26-J$3)/J$3)</f>
        <v>14.430236767873197</v>
      </c>
      <c r="K26" s="20">
        <f>ABS(100*($B26-K$3)/K$3)</f>
        <v>10.8783104636156</v>
      </c>
      <c r="L26" s="20">
        <f>ABS(100*($B26-L$3)/L$3)</f>
        <v>10.100732198876388</v>
      </c>
      <c r="M26" s="20">
        <f>ABS(100*($B26-M$3)/M$3)</f>
        <v>9.909383901661494</v>
      </c>
      <c r="N26" s="20">
        <f>ABS(100*($B26-N$3)/N$3)</f>
        <v>9.2940071000247073</v>
      </c>
      <c r="O26" s="20">
        <f>ABS(100*($B26-O$3)/O$3)</f>
        <v>25.703473139265856</v>
      </c>
      <c r="P26" s="20">
        <f>ABS(100*($B26-P$3)/P$3)</f>
        <v>25.562865227476987</v>
      </c>
      <c r="Q26" s="20">
        <f>ABS(100*($B26-Q$3)/Q$3)</f>
        <v>28.142924102014188</v>
      </c>
      <c r="R26" s="20">
        <f>ABS(100*($B26-R$3)/R$3)</f>
        <v>26.304586794221571</v>
      </c>
      <c r="S26" s="20">
        <f>ABS(100*($B26-S$3)/S$3)</f>
        <v>25.108054068948924</v>
      </c>
      <c r="T26" s="20">
        <f>ABS(100*($B26-T$3)/T$3)</f>
        <v>23.152168418392129</v>
      </c>
      <c r="U26" s="20">
        <f>ABS(100*($B26-U$3)/U$3)</f>
        <v>24.380278685168339</v>
      </c>
      <c r="V26" s="20">
        <f>ABS(100*($B26-V$3)/V$3)</f>
        <v>25.422571523312204</v>
      </c>
      <c r="W26" s="20">
        <f>ABS(100*($B26-W$3)/W$3)</f>
        <v>24.242613739196926</v>
      </c>
      <c r="X26" s="20">
        <f>ABS(100*($B26-X$3)/X$3)</f>
        <v>19.768686597348005</v>
      </c>
      <c r="Y26" s="20">
        <f>ABS(100*($B26-Y$3)/Y$3)</f>
        <v>15.844377206774432</v>
      </c>
      <c r="Z26" s="20">
        <f>ABS(100*($B26-Z$3)/Z$3)</f>
        <v>14.954635446353723</v>
      </c>
      <c r="AA26" s="20">
        <f>ABS(100*($B26-AA$3)/AA$3)</f>
        <v>23.017207137933614</v>
      </c>
    </row>
    <row r="27" spans="1:27">
      <c r="A27" s="8" t="str">
        <f>MXenes!A26</f>
        <v>Cr2TaC2</v>
      </c>
      <c r="B27" s="18">
        <f>MXenes!D26</f>
        <v>3.1640000000000001</v>
      </c>
      <c r="C27" s="19" t="str">
        <f>MXenes!B26</f>
        <v>ordered DTM</v>
      </c>
      <c r="D27" s="20">
        <f>ABS(100*($B27-D$3)/D$3)</f>
        <v>26.970622608565975</v>
      </c>
      <c r="E27" s="20">
        <f>ABS(100*($B27-E$3)/E$3)</f>
        <v>26.23629496553837</v>
      </c>
      <c r="F27" s="20">
        <f>ABS(100*($B27-F$3)/F$3)</f>
        <v>23.781341429872846</v>
      </c>
      <c r="G27" s="20">
        <f>ABS(100*($B27-G$3)/G$3)</f>
        <v>17.646624371574738</v>
      </c>
      <c r="H27" s="20">
        <f>ABS(100*($B27-H$3)/H$3)</f>
        <v>16.543514907237419</v>
      </c>
      <c r="I27" s="20">
        <f>ABS(100*($B27-I$3)/I$3)</f>
        <v>15.006855099300218</v>
      </c>
      <c r="J27" s="20">
        <f>ABS(100*($B27-J$3)/J$3)</f>
        <v>14.033785553874278</v>
      </c>
      <c r="K27" s="20">
        <f>ABS(100*($B27-K$3)/K$3)</f>
        <v>10.494165136025131</v>
      </c>
      <c r="L27" s="20">
        <f>ABS(100*($B27-L$3)/L$3)</f>
        <v>9.7192808432267483</v>
      </c>
      <c r="M27" s="20">
        <f>ABS(100*($B27-M$3)/M$3)</f>
        <v>9.5285954849943302</v>
      </c>
      <c r="N27" s="20">
        <f>ABS(100*($B27-N$3)/N$3)</f>
        <v>9.6082640833002024</v>
      </c>
      <c r="O27" s="20">
        <f>ABS(100*($B27-O$3)/O$3)</f>
        <v>25.267965043350301</v>
      </c>
      <c r="P27" s="20">
        <f>ABS(100*($B27-P$3)/P$3)</f>
        <v>25.127844277082591</v>
      </c>
      <c r="Q27" s="20">
        <f>ABS(100*($B27-Q$3)/Q$3)</f>
        <v>27.698964364967853</v>
      </c>
      <c r="R27" s="20">
        <f>ABS(100*($B27-R$3)/R$3)</f>
        <v>25.866996099816408</v>
      </c>
      <c r="S27" s="20">
        <f>ABS(100*($B27-S$3)/S$3)</f>
        <v>24.674608842253367</v>
      </c>
      <c r="T27" s="20">
        <f>ABS(100*($B27-T$3)/T$3)</f>
        <v>22.725499488438658</v>
      </c>
      <c r="U27" s="20">
        <f>ABS(100*($B27-U$3)/U$3)</f>
        <v>23.949354884999266</v>
      </c>
      <c r="V27" s="20">
        <f>ABS(100*($B27-V$3)/V$3)</f>
        <v>24.988036629845624</v>
      </c>
      <c r="W27" s="20">
        <f>ABS(100*($B27-W$3)/W$3)</f>
        <v>23.812166888446963</v>
      </c>
      <c r="X27" s="20">
        <f>ABS(100*($B27-X$3)/X$3)</f>
        <v>19.353739966617049</v>
      </c>
      <c r="Y27" s="20">
        <f>ABS(100*($B27-Y$3)/Y$3)</f>
        <v>15.443026608577744</v>
      </c>
      <c r="Z27" s="20">
        <f>ABS(100*($B27-Z$3)/Z$3)</f>
        <v>14.556367418035659</v>
      </c>
      <c r="AA27" s="20">
        <f>ABS(100*($B27-AA$3)/AA$3)</f>
        <v>22.591005790369135</v>
      </c>
    </row>
    <row r="28" spans="1:27">
      <c r="A28" s="8" t="str">
        <f>MXenes!A27</f>
        <v>Ti2NbC2</v>
      </c>
      <c r="B28" s="18">
        <f>MXenes!D27</f>
        <v>3.157</v>
      </c>
      <c r="C28" s="19" t="str">
        <f>MXenes!B27</f>
        <v>ordered DTM</v>
      </c>
      <c r="D28" s="20">
        <f>ABS(100*($B28-D$3)/D$3)</f>
        <v>26.689714151467374</v>
      </c>
      <c r="E28" s="20">
        <f>ABS(100*($B28-E$3)/E$3)</f>
        <v>25.957011127119038</v>
      </c>
      <c r="F28" s="20">
        <f>ABS(100*($B28-F$3)/F$3)</f>
        <v>23.507488904585514</v>
      </c>
      <c r="G28" s="20">
        <f>ABS(100*($B28-G$3)/G$3)</f>
        <v>17.386344229159747</v>
      </c>
      <c r="H28" s="20">
        <f>ABS(100*($B28-H$3)/H$3)</f>
        <v>16.285675272486891</v>
      </c>
      <c r="I28" s="20">
        <f>ABS(100*($B28-I$3)/I$3)</f>
        <v>14.752415154390256</v>
      </c>
      <c r="J28" s="20">
        <f>ABS(100*($B28-J$3)/J$3)</f>
        <v>13.781498417693136</v>
      </c>
      <c r="K28" s="20">
        <f>ABS(100*($B28-K$3)/K$3)</f>
        <v>10.249709018467549</v>
      </c>
      <c r="L28" s="20">
        <f>ABS(100*($B28-L$3)/L$3)</f>
        <v>9.4765390714496931</v>
      </c>
      <c r="M28" s="20">
        <f>ABS(100*($B28-M$3)/M$3)</f>
        <v>9.2862755834788526</v>
      </c>
      <c r="N28" s="20">
        <f>ABS(100*($B28-N$3)/N$3)</f>
        <v>9.8082457999300718</v>
      </c>
      <c r="O28" s="20">
        <f>ABS(100*($B28-O$3)/O$3)</f>
        <v>24.990823527767667</v>
      </c>
      <c r="P28" s="20">
        <f>ABS(100*($B28-P$3)/P$3)</f>
        <v>24.851012763195236</v>
      </c>
      <c r="Q28" s="20">
        <f>ABS(100*($B28-Q$3)/Q$3)</f>
        <v>27.416444532301991</v>
      </c>
      <c r="R28" s="20">
        <f>ABS(100*($B28-R$3)/R$3)</f>
        <v>25.588529294285834</v>
      </c>
      <c r="S28" s="20">
        <f>ABS(100*($B28-S$3)/S$3)</f>
        <v>24.398780061628909</v>
      </c>
      <c r="T28" s="20">
        <f>ABS(100*($B28-T$3)/T$3)</f>
        <v>22.453982896650071</v>
      </c>
      <c r="U28" s="20">
        <f>ABS(100*($B28-U$3)/U$3)</f>
        <v>23.675130648528025</v>
      </c>
      <c r="V28" s="20">
        <f>ABS(100*($B28-V$3)/V$3)</f>
        <v>24.71151442491233</v>
      </c>
      <c r="W28" s="20">
        <f>ABS(100*($B28-W$3)/W$3)</f>
        <v>23.53824616524243</v>
      </c>
      <c r="X28" s="20">
        <f>ABS(100*($B28-X$3)/X$3)</f>
        <v>19.089683019788247</v>
      </c>
      <c r="Y28" s="20">
        <f>ABS(100*($B28-Y$3)/Y$3)</f>
        <v>15.187621682452569</v>
      </c>
      <c r="Z28" s="20">
        <f>ABS(100*($B28-Z$3)/Z$3)</f>
        <v>14.30292412728779</v>
      </c>
      <c r="AA28" s="20">
        <f>ABS(100*($B28-AA$3)/AA$3)</f>
        <v>22.319786751009904</v>
      </c>
    </row>
    <row r="29" spans="1:27">
      <c r="A29" s="8" t="str">
        <f>MXenes!A28</f>
        <v>Ti2TaC2</v>
      </c>
      <c r="B29" s="18">
        <f>MXenes!D28</f>
        <v>3.089</v>
      </c>
      <c r="C29" s="19" t="str">
        <f>MXenes!B28</f>
        <v>ordered DTM</v>
      </c>
      <c r="D29" s="20">
        <f>ABS(100*($B29-D$3)/D$3)</f>
        <v>23.960889139652426</v>
      </c>
      <c r="E29" s="20">
        <f>ABS(100*($B29-E$3)/E$3)</f>
        <v>23.243968125331229</v>
      </c>
      <c r="F29" s="20">
        <f>ABS(100*($B29-F$3)/F$3)</f>
        <v>20.84720723036574</v>
      </c>
      <c r="G29" s="20">
        <f>ABS(100*($B29-G$3)/G$3)</f>
        <v>14.857908559985569</v>
      </c>
      <c r="H29" s="20">
        <f>ABS(100*($B29-H$3)/H$3)</f>
        <v>13.780947392053214</v>
      </c>
      <c r="I29" s="20">
        <f>ABS(100*($B29-I$3)/I$3)</f>
        <v>12.280712832407824</v>
      </c>
      <c r="J29" s="20">
        <f>ABS(100*($B29-J$3)/J$3)</f>
        <v>11.330709094790651</v>
      </c>
      <c r="K29" s="20">
        <f>ABS(100*($B29-K$3)/K$3)</f>
        <v>7.8749924479082214</v>
      </c>
      <c r="L29" s="20">
        <f>ABS(100*($B29-L$3)/L$3)</f>
        <v>7.1184761456154879</v>
      </c>
      <c r="M29" s="20">
        <f>ABS(100*($B29-M$3)/M$3)</f>
        <v>6.9323108258999593</v>
      </c>
      <c r="N29" s="20">
        <f>ABS(100*($B29-N$3)/N$3)</f>
        <v>11.750925332905922</v>
      </c>
      <c r="O29" s="20">
        <f>ABS(100*($B29-O$3)/O$3)</f>
        <v>22.298591662107796</v>
      </c>
      <c r="P29" s="20">
        <f>ABS(100*($B29-P$3)/P$3)</f>
        <v>22.161792342575254</v>
      </c>
      <c r="Q29" s="20">
        <f>ABS(100*($B29-Q$3)/Q$3)</f>
        <v>24.671966157833651</v>
      </c>
      <c r="R29" s="20">
        <f>ABS(100*($B29-R$3)/R$3)</f>
        <v>22.883423183417463</v>
      </c>
      <c r="S29" s="20">
        <f>ABS(100*($B29-S$3)/S$3)</f>
        <v>21.719300478419921</v>
      </c>
      <c r="T29" s="20">
        <f>ABS(100*($B29-T$3)/T$3)</f>
        <v>19.816393147846711</v>
      </c>
      <c r="U29" s="20">
        <f>ABS(100*($B29-U$3)/U$3)</f>
        <v>21.011238065664575</v>
      </c>
      <c r="V29" s="20">
        <f>ABS(100*($B29-V$3)/V$3)</f>
        <v>22.025298719846113</v>
      </c>
      <c r="W29" s="20">
        <f>ABS(100*($B29-W$3)/W$3)</f>
        <v>20.877301996969866</v>
      </c>
      <c r="X29" s="20">
        <f>ABS(100*($B29-X$3)/X$3)</f>
        <v>16.524558393451343</v>
      </c>
      <c r="Y29" s="20">
        <f>ABS(100*($B29-Y$3)/Y$3)</f>
        <v>12.706545257236609</v>
      </c>
      <c r="Z29" s="20">
        <f>ABS(100*($B29-Z$3)/Z$3)</f>
        <v>11.840903588594225</v>
      </c>
      <c r="AA29" s="20">
        <f>ABS(100*($B29-AA$3)/AA$3)</f>
        <v>19.685087511520297</v>
      </c>
    </row>
    <row r="30" spans="1:27">
      <c r="A30" s="8" t="str">
        <f>MXenes!A29</f>
        <v>V2TiC2</v>
      </c>
      <c r="B30" s="18">
        <f>MXenes!D29</f>
        <v>3.05</v>
      </c>
      <c r="C30" s="19" t="str">
        <f>MXenes!B29</f>
        <v>ordered DTM</v>
      </c>
      <c r="D30" s="20">
        <f>ABS(100*($B30-D$3)/D$3)</f>
        <v>22.395827735817377</v>
      </c>
      <c r="E30" s="20">
        <f>ABS(100*($B30-E$3)/E$3)</f>
        <v>21.687958168423513</v>
      </c>
      <c r="F30" s="20">
        <f>ABS(100*($B30-F$3)/F$3)</f>
        <v>19.321457446622041</v>
      </c>
      <c r="G30" s="20">
        <f>ABS(100*($B30-G$3)/G$3)</f>
        <v>13.4077763379592</v>
      </c>
      <c r="H30" s="20">
        <f>ABS(100*($B30-H$3)/H$3)</f>
        <v>12.344412284157427</v>
      </c>
      <c r="I30" s="20">
        <f>ABS(100*($B30-I$3)/I$3)</f>
        <v>10.863118853623774</v>
      </c>
      <c r="J30" s="20">
        <f>ABS(100*($B30-J$3)/J$3)</f>
        <v>9.9251093360671643</v>
      </c>
      <c r="K30" s="20">
        <f>ABS(100*($B30-K$3)/K$3)</f>
        <v>6.5130226500874269</v>
      </c>
      <c r="L30" s="20">
        <f>ABS(100*($B30-L$3)/L$3)</f>
        <v>5.7660577028576316</v>
      </c>
      <c r="M30" s="20">
        <f>ABS(100*($B30-M$3)/M$3)</f>
        <v>5.5822428031708835</v>
      </c>
      <c r="N30" s="20">
        <f>ABS(100*($B30-N$3)/N$3)</f>
        <v>12.8651091827009</v>
      </c>
      <c r="O30" s="20">
        <f>ABS(100*($B30-O$3)/O$3)</f>
        <v>20.754517503861692</v>
      </c>
      <c r="P30" s="20">
        <f>ABS(100*($B30-P$3)/P$3)</f>
        <v>20.619445336631436</v>
      </c>
      <c r="Q30" s="20">
        <f>ABS(100*($B30-Q$3)/Q$3)</f>
        <v>23.097927090123868</v>
      </c>
      <c r="R30" s="20">
        <f>ABS(100*($B30-R$3)/R$3)</f>
        <v>21.331965266890013</v>
      </c>
      <c r="S30" s="20">
        <f>ABS(100*($B30-S$3)/S$3)</f>
        <v>20.182540129226524</v>
      </c>
      <c r="T30" s="20">
        <f>ABS(100*($B30-T$3)/T$3)</f>
        <v>18.303657850738897</v>
      </c>
      <c r="U30" s="20">
        <f>ABS(100*($B30-U$3)/U$3)</f>
        <v>19.483417319610531</v>
      </c>
      <c r="V30" s="20">
        <f>ABS(100*($B30-V$3)/V$3)</f>
        <v>20.48467500664637</v>
      </c>
      <c r="W30" s="20">
        <f>ABS(100*($B30-W$3)/W$3)</f>
        <v>19.351172253401771</v>
      </c>
      <c r="X30" s="20">
        <f>ABS(100*($B30-X$3)/X$3)</f>
        <v>15.05338397540517</v>
      </c>
      <c r="Y30" s="20">
        <f>ABS(100*($B30-Y$3)/Y$3)</f>
        <v>11.283574954539217</v>
      </c>
      <c r="Z30" s="20">
        <f>ABS(100*($B30-Z$3)/Z$3)</f>
        <v>10.428862397284679</v>
      </c>
      <c r="AA30" s="20">
        <f>ABS(100*($B30-AA$3)/AA$3)</f>
        <v>18.174010006518905</v>
      </c>
    </row>
    <row r="31" spans="1:27">
      <c r="A31" s="8" t="str">
        <f>MXenes!A30</f>
        <v>V2TaC2</v>
      </c>
      <c r="B31" s="18">
        <f>MXenes!D30</f>
        <v>3.0910000000000002</v>
      </c>
      <c r="C31" s="19" t="str">
        <f>MXenes!B30</f>
        <v>ordered DTM</v>
      </c>
      <c r="D31" s="20">
        <f>ABS(100*($B31-D$3)/D$3)</f>
        <v>24.041148698823463</v>
      </c>
      <c r="E31" s="20">
        <f>ABS(100*($B31-E$3)/E$3)</f>
        <v>23.323763507736764</v>
      </c>
      <c r="F31" s="20">
        <f>ABS(100*($B31-F$3)/F$3)</f>
        <v>20.925450809019271</v>
      </c>
      <c r="G31" s="20">
        <f>ABS(100*($B31-G$3)/G$3)</f>
        <v>14.932274314961289</v>
      </c>
      <c r="H31" s="20">
        <f>ABS(100*($B31-H$3)/H$3)</f>
        <v>13.854615859124802</v>
      </c>
      <c r="I31" s="20">
        <f>ABS(100*($B31-I$3)/I$3)</f>
        <v>12.35340995952496</v>
      </c>
      <c r="J31" s="20">
        <f>ABS(100*($B31-J$3)/J$3)</f>
        <v>11.402791133699557</v>
      </c>
      <c r="K31" s="20">
        <f>ABS(100*($B31-K$3)/K$3)</f>
        <v>7.9448370529246803</v>
      </c>
      <c r="L31" s="20">
        <f>ABS(100*($B31-L$3)/L$3)</f>
        <v>7.187830937551797</v>
      </c>
      <c r="M31" s="20">
        <f>ABS(100*($B31-M$3)/M$3)</f>
        <v>7.0015450834758157</v>
      </c>
      <c r="N31" s="20">
        <f>ABS(100*($B31-N$3)/N$3)</f>
        <v>11.693787699583098</v>
      </c>
      <c r="O31" s="20">
        <f>ABS(100*($B31-O$3)/O$3)</f>
        <v>22.377774952274272</v>
      </c>
      <c r="P31" s="20">
        <f>ABS(100*($B31-P$3)/P$3)</f>
        <v>22.240887060828793</v>
      </c>
      <c r="Q31" s="20">
        <f>ABS(100*($B31-Q$3)/Q$3)</f>
        <v>24.752686110023909</v>
      </c>
      <c r="R31" s="20">
        <f>ABS(100*($B31-R$3)/R$3)</f>
        <v>22.962985127854779</v>
      </c>
      <c r="S31" s="20">
        <f>ABS(100*($B31-S$3)/S$3)</f>
        <v>21.798108701455487</v>
      </c>
      <c r="T31" s="20">
        <f>ABS(100*($B31-T$3)/T$3)</f>
        <v>19.893969316929169</v>
      </c>
      <c r="U31" s="20">
        <f>ABS(100*($B31-U$3)/U$3)</f>
        <v>21.089587847513506</v>
      </c>
      <c r="V31" s="20">
        <f>ABS(100*($B31-V$3)/V$3)</f>
        <v>22.104305064112776</v>
      </c>
      <c r="W31" s="20">
        <f>ABS(100*($B31-W$3)/W$3)</f>
        <v>20.955565060742597</v>
      </c>
      <c r="X31" s="20">
        <f>ABS(100*($B31-X$3)/X$3)</f>
        <v>16.600003235402433</v>
      </c>
      <c r="Y31" s="20">
        <f>ABS(100*($B31-Y$3)/Y$3)</f>
        <v>12.779518093272381</v>
      </c>
      <c r="Z31" s="20">
        <f>ABS(100*($B31-Z$3)/Z$3)</f>
        <v>11.913315957379339</v>
      </c>
      <c r="AA31" s="20">
        <f>ABS(100*($B31-AA$3)/AA$3)</f>
        <v>19.762578665622943</v>
      </c>
    </row>
    <row r="32" spans="1:27">
      <c r="A32" s="8" t="str">
        <f>MXenes!A31</f>
        <v>Mo2TiC2O2</v>
      </c>
      <c r="B32" s="18">
        <f>MXenes!D31</f>
        <v>2.9980000000000002</v>
      </c>
      <c r="C32" s="19" t="str">
        <f>MXenes!B31</f>
        <v>ordered DTM</v>
      </c>
      <c r="D32" s="20">
        <f>ABS(100*($B32-D$3)/D$3)</f>
        <v>20.309079197370671</v>
      </c>
      <c r="E32" s="20">
        <f>ABS(100*($B32-E$3)/E$3)</f>
        <v>19.613278225879917</v>
      </c>
      <c r="F32" s="20">
        <f>ABS(100*($B32-F$3)/F$3)</f>
        <v>17.287124401630468</v>
      </c>
      <c r="G32" s="20">
        <f>ABS(100*($B32-G$3)/G$3)</f>
        <v>11.474266708590731</v>
      </c>
      <c r="H32" s="20">
        <f>ABS(100*($B32-H$3)/H$3)</f>
        <v>10.429032140296396</v>
      </c>
      <c r="I32" s="20">
        <f>ABS(100*($B32-I$3)/I$3)</f>
        <v>8.9729935485783994</v>
      </c>
      <c r="J32" s="20">
        <f>ABS(100*($B32-J$3)/J$3)</f>
        <v>8.0509763244358705</v>
      </c>
      <c r="K32" s="20">
        <f>ABS(100*($B32-K$3)/K$3)</f>
        <v>4.6970629196597198</v>
      </c>
      <c r="L32" s="20">
        <f>ABS(100*($B32-L$3)/L$3)</f>
        <v>3.962833112513843</v>
      </c>
      <c r="M32" s="20">
        <f>ABS(100*($B32-M$3)/M$3)</f>
        <v>3.782152106198803</v>
      </c>
      <c r="N32" s="20">
        <f>ABS(100*($B32-N$3)/N$3)</f>
        <v>14.350687649094183</v>
      </c>
      <c r="O32" s="20">
        <f>ABS(100*($B32-O$3)/O$3)</f>
        <v>18.695751959533574</v>
      </c>
      <c r="P32" s="20">
        <f>ABS(100*($B32-P$3)/P$3)</f>
        <v>18.562982662039705</v>
      </c>
      <c r="Q32" s="20">
        <f>ABS(100*($B32-Q$3)/Q$3)</f>
        <v>20.99920833317751</v>
      </c>
      <c r="R32" s="20">
        <f>ABS(100*($B32-R$3)/R$3)</f>
        <v>19.263354711520101</v>
      </c>
      <c r="S32" s="20">
        <f>ABS(100*($B32-S$3)/S$3)</f>
        <v>18.133526330302022</v>
      </c>
      <c r="T32" s="20">
        <f>ABS(100*($B32-T$3)/T$3)</f>
        <v>16.286677454595164</v>
      </c>
      <c r="U32" s="20">
        <f>ABS(100*($B32-U$3)/U$3)</f>
        <v>17.446322991538498</v>
      </c>
      <c r="V32" s="20">
        <f>ABS(100*($B32-V$3)/V$3)</f>
        <v>18.430510055713398</v>
      </c>
      <c r="W32" s="20">
        <f>ABS(100*($B32-W$3)/W$3)</f>
        <v>17.316332595311003</v>
      </c>
      <c r="X32" s="20">
        <f>ABS(100*($B32-X$3)/X$3)</f>
        <v>13.091818084676966</v>
      </c>
      <c r="Y32" s="20">
        <f>ABS(100*($B32-Y$3)/Y$3)</f>
        <v>9.3862812176093833</v>
      </c>
      <c r="Z32" s="20">
        <f>ABS(100*($B32-Z$3)/Z$3)</f>
        <v>8.5461408088719715</v>
      </c>
      <c r="AA32" s="20">
        <f>ABS(100*($B32-AA$3)/AA$3)</f>
        <v>16.159239999850399</v>
      </c>
    </row>
    <row r="33" spans="1:27">
      <c r="A33" s="8" t="str">
        <f>MXenes!A32</f>
        <v>Cr2TiC2O2</v>
      </c>
      <c r="B33" s="18">
        <f>MXenes!D32</f>
        <v>2.907</v>
      </c>
      <c r="C33" s="19" t="str">
        <f>MXenes!B32</f>
        <v>ordered DTM</v>
      </c>
      <c r="D33" s="20">
        <f>ABS(100*($B33-D$3)/D$3)</f>
        <v>16.657269255088902</v>
      </c>
      <c r="E33" s="20">
        <f>ABS(100*($B33-E$3)/E$3)</f>
        <v>15.982588326428585</v>
      </c>
      <c r="F33" s="20">
        <f>ABS(100*($B33-F$3)/F$3)</f>
        <v>13.727041572895182</v>
      </c>
      <c r="G33" s="20">
        <f>ABS(100*($B33-G$3)/G$3)</f>
        <v>8.0906248571958752</v>
      </c>
      <c r="H33" s="20">
        <f>ABS(100*($B33-H$3)/H$3)</f>
        <v>7.0771168885395603</v>
      </c>
      <c r="I33" s="20">
        <f>ABS(100*($B33-I$3)/I$3)</f>
        <v>5.6652742647489625</v>
      </c>
      <c r="J33" s="20">
        <f>ABS(100*($B33-J$3)/J$3)</f>
        <v>4.7712435540810718</v>
      </c>
      <c r="K33" s="20">
        <f>ABS(100*($B33-K$3)/K$3)</f>
        <v>1.5191333914112031</v>
      </c>
      <c r="L33" s="20">
        <f>ABS(100*($B33-L$3)/L$3)</f>
        <v>0.80719007941218213</v>
      </c>
      <c r="M33" s="20">
        <f>ABS(100*($B33-M$3)/M$3)</f>
        <v>0.63199338649763215</v>
      </c>
      <c r="N33" s="20">
        <f>ABS(100*($B33-N$3)/N$3)</f>
        <v>16.950449965282456</v>
      </c>
      <c r="O33" s="20">
        <f>ABS(100*($B33-O$3)/O$3)</f>
        <v>15.09291225695933</v>
      </c>
      <c r="P33" s="20">
        <f>ABS(100*($B33-P$3)/P$3)</f>
        <v>14.964172981504134</v>
      </c>
      <c r="Q33" s="20">
        <f>ABS(100*($B33-Q$3)/Q$3)</f>
        <v>17.326450508521344</v>
      </c>
      <c r="R33" s="20">
        <f>ABS(100*($B33-R$3)/R$3)</f>
        <v>15.643286239622718</v>
      </c>
      <c r="S33" s="20">
        <f>ABS(100*($B33-S$3)/S$3)</f>
        <v>14.547752182184109</v>
      </c>
      <c r="T33" s="20">
        <f>ABS(100*($B33-T$3)/T$3)</f>
        <v>12.756961761343605</v>
      </c>
      <c r="U33" s="20">
        <f>ABS(100*($B33-U$3)/U$3)</f>
        <v>13.881407917412407</v>
      </c>
      <c r="V33" s="20">
        <f>ABS(100*($B33-V$3)/V$3)</f>
        <v>14.835721391580659</v>
      </c>
      <c r="W33" s="20">
        <f>ABS(100*($B33-W$3)/W$3)</f>
        <v>13.755363193652123</v>
      </c>
      <c r="X33" s="20">
        <f>ABS(100*($B33-X$3)/X$3)</f>
        <v>9.6590777759025759</v>
      </c>
      <c r="Y33" s="20">
        <f>ABS(100*($B33-Y$3)/Y$3)</f>
        <v>6.0660171779821406</v>
      </c>
      <c r="Z33" s="20">
        <f>ABS(100*($B33-Z$3)/Z$3)</f>
        <v>5.2513780291497003</v>
      </c>
      <c r="AA33" s="20">
        <f>ABS(100*($B33-AA$3)/AA$3)</f>
        <v>12.633392488180483</v>
      </c>
    </row>
    <row r="34" spans="1:27">
      <c r="A34" s="8" t="str">
        <f>MXenes!A33</f>
        <v>Mo2ScC2O2</v>
      </c>
      <c r="B34" s="18">
        <f>MXenes!D33</f>
        <v>3.0430000000000001</v>
      </c>
      <c r="C34" s="19" t="str">
        <f>MXenes!B33</f>
        <v>ordered DTM</v>
      </c>
      <c r="D34" s="20">
        <f>ABS(100*($B34-D$3)/D$3)</f>
        <v>22.114919278718794</v>
      </c>
      <c r="E34" s="20">
        <f>ABS(100*($B34-E$3)/E$3)</f>
        <v>21.408674330004196</v>
      </c>
      <c r="F34" s="20">
        <f>ABS(100*($B34-F$3)/F$3)</f>
        <v>19.047604921334727</v>
      </c>
      <c r="G34" s="20">
        <f>ABS(100*($B34-G$3)/G$3)</f>
        <v>13.147496195544225</v>
      </c>
      <c r="H34" s="20">
        <f>ABS(100*($B34-H$3)/H$3)</f>
        <v>12.086572649406913</v>
      </c>
      <c r="I34" s="20">
        <f>ABS(100*($B34-I$3)/I$3)</f>
        <v>10.608678908713831</v>
      </c>
      <c r="J34" s="20">
        <f>ABS(100*($B34-J$3)/J$3)</f>
        <v>9.6728221998860384</v>
      </c>
      <c r="K34" s="20">
        <f>ABS(100*($B34-K$3)/K$3)</f>
        <v>6.268566532529861</v>
      </c>
      <c r="L34" s="20">
        <f>ABS(100*($B34-L$3)/L$3)</f>
        <v>5.5233159310805924</v>
      </c>
      <c r="M34" s="20">
        <f>ABS(100*($B34-M$3)/M$3)</f>
        <v>5.3399229016554202</v>
      </c>
      <c r="N34" s="20">
        <f>ABS(100*($B34-N$3)/N$3)</f>
        <v>13.065090899330757</v>
      </c>
      <c r="O34" s="20">
        <f>ABS(100*($B34-O$3)/O$3)</f>
        <v>20.477375988279071</v>
      </c>
      <c r="P34" s="20">
        <f>ABS(100*($B34-P$3)/P$3)</f>
        <v>20.342613822744095</v>
      </c>
      <c r="Q34" s="20">
        <f>ABS(100*($B34-Q$3)/Q$3)</f>
        <v>22.81540725745802</v>
      </c>
      <c r="R34" s="20">
        <f>ABS(100*($B34-R$3)/R$3)</f>
        <v>21.053498461359457</v>
      </c>
      <c r="S34" s="20">
        <f>ABS(100*($B34-S$3)/S$3)</f>
        <v>19.906711348602084</v>
      </c>
      <c r="T34" s="20">
        <f>ABS(100*($B34-T$3)/T$3)</f>
        <v>18.032141258950329</v>
      </c>
      <c r="U34" s="20">
        <f>ABS(100*($B34-U$3)/U$3)</f>
        <v>19.209193083139308</v>
      </c>
      <c r="V34" s="20">
        <f>ABS(100*($B34-V$3)/V$3)</f>
        <v>20.208152801713094</v>
      </c>
      <c r="W34" s="20">
        <f>ABS(100*($B34-W$3)/W$3)</f>
        <v>19.077251530197255</v>
      </c>
      <c r="X34" s="20">
        <f>ABS(100*($B34-X$3)/X$3)</f>
        <v>14.789327028576386</v>
      </c>
      <c r="Y34" s="20">
        <f>ABS(100*($B34-Y$3)/Y$3)</f>
        <v>11.028170028414056</v>
      </c>
      <c r="Z34" s="20">
        <f>ABS(100*($B34-Z$3)/Z$3)</f>
        <v>10.175419106536824</v>
      </c>
      <c r="AA34" s="20">
        <f>ABS(100*($B34-AA$3)/AA$3)</f>
        <v>17.902790967159692</v>
      </c>
    </row>
    <row r="35" spans="1:27">
      <c r="A35" s="8" t="str">
        <f>MXenes!A34</f>
        <v>Cr2VC2O2</v>
      </c>
      <c r="B35" s="18">
        <f>MXenes!D34</f>
        <v>2.9020000000000001</v>
      </c>
      <c r="C35" s="19" t="str">
        <f>MXenes!B34</f>
        <v>ordered DTM</v>
      </c>
      <c r="D35" s="20">
        <f>ABS(100*($B35-D$3)/D$3)</f>
        <v>16.456620357161334</v>
      </c>
      <c r="E35" s="20">
        <f>ABS(100*($B35-E$3)/E$3)</f>
        <v>15.783099870414778</v>
      </c>
      <c r="F35" s="20">
        <f>ABS(100*($B35-F$3)/F$3)</f>
        <v>13.531432626261379</v>
      </c>
      <c r="G35" s="20">
        <f>ABS(100*($B35-G$3)/G$3)</f>
        <v>7.9047104697566022</v>
      </c>
      <c r="H35" s="20">
        <f>ABS(100*($B35-H$3)/H$3)</f>
        <v>6.8929457208606175</v>
      </c>
      <c r="I35" s="20">
        <f>ABS(100*($B35-I$3)/I$3)</f>
        <v>5.4835314469561407</v>
      </c>
      <c r="J35" s="20">
        <f>ABS(100*($B35-J$3)/J$3)</f>
        <v>4.5910384568088345</v>
      </c>
      <c r="K35" s="20">
        <f>ABS(100*($B35-K$3)/K$3)</f>
        <v>1.3445218788700797</v>
      </c>
      <c r="L35" s="20">
        <f>ABS(100*($B35-L$3)/L$3)</f>
        <v>0.63380309957143566</v>
      </c>
      <c r="M35" s="20">
        <f>ABS(100*($B35-M$3)/M$3)</f>
        <v>0.45890774255801148</v>
      </c>
      <c r="N35" s="20">
        <f>ABS(100*($B35-N$3)/N$3)</f>
        <v>17.093294048589502</v>
      </c>
      <c r="O35" s="20">
        <f>ABS(100*($B35-O$3)/O$3)</f>
        <v>14.894954031543168</v>
      </c>
      <c r="P35" s="20">
        <f>ABS(100*($B35-P$3)/P$3)</f>
        <v>14.766436185870317</v>
      </c>
      <c r="Q35" s="20">
        <f>ABS(100*($B35-Q$3)/Q$3)</f>
        <v>17.124650628045739</v>
      </c>
      <c r="R35" s="20">
        <f>ABS(100*($B35-R$3)/R$3)</f>
        <v>15.44438137852946</v>
      </c>
      <c r="S35" s="20">
        <f>ABS(100*($B35-S$3)/S$3)</f>
        <v>14.350731624595216</v>
      </c>
      <c r="T35" s="20">
        <f>ABS(100*($B35-T$3)/T$3)</f>
        <v>12.56302133863748</v>
      </c>
      <c r="U35" s="20">
        <f>ABS(100*($B35-U$3)/U$3)</f>
        <v>13.685533462790097</v>
      </c>
      <c r="V35" s="20">
        <f>ABS(100*($B35-V$3)/V$3)</f>
        <v>14.638205530914032</v>
      </c>
      <c r="W35" s="20">
        <f>ABS(100*($B35-W$3)/W$3)</f>
        <v>13.559705534220321</v>
      </c>
      <c r="X35" s="20">
        <f>ABS(100*($B35-X$3)/X$3)</f>
        <v>9.4704656710248667</v>
      </c>
      <c r="Y35" s="20">
        <f>ABS(100*($B35-Y$3)/Y$3)</f>
        <v>5.8835850878927349</v>
      </c>
      <c r="Z35" s="20">
        <f>ABS(100*($B35-Z$3)/Z$3)</f>
        <v>5.0703471071869419</v>
      </c>
      <c r="AA35" s="20">
        <f>ABS(100*($B35-AA$3)/AA$3)</f>
        <v>12.439664602923902</v>
      </c>
    </row>
    <row r="36" spans="1:27">
      <c r="A36" s="8" t="str">
        <f>MXenes!A35</f>
        <v>Ti2VCNO2</v>
      </c>
      <c r="B36" s="18">
        <f>MXenes!D35</f>
        <v>2.98</v>
      </c>
      <c r="C36" s="19" t="str">
        <f>MXenes!B35</f>
        <v>ordered carbonitride</v>
      </c>
      <c r="D36" s="20">
        <f>ABS(100*($B36-D$3)/D$3)</f>
        <v>19.586743164831411</v>
      </c>
      <c r="E36" s="20">
        <f>ABS(100*($B36-E$3)/E$3)</f>
        <v>18.895119784230197</v>
      </c>
      <c r="F36" s="20">
        <f>ABS(100*($B36-F$3)/F$3)</f>
        <v>16.582932193748757</v>
      </c>
      <c r="G36" s="20">
        <f>ABS(100*($B36-G$3)/G$3)</f>
        <v>10.804974913809323</v>
      </c>
      <c r="H36" s="20">
        <f>ABS(100*($B36-H$3)/H$3)</f>
        <v>9.7660159366521793</v>
      </c>
      <c r="I36" s="20">
        <f>ABS(100*($B36-I$3)/I$3)</f>
        <v>8.3187194045242183</v>
      </c>
      <c r="J36" s="20">
        <f>ABS(100*($B36-J$3)/J$3)</f>
        <v>7.402237974255792</v>
      </c>
      <c r="K36" s="20">
        <f>ABS(100*($B36-K$3)/K$3)</f>
        <v>4.068461474511655</v>
      </c>
      <c r="L36" s="20">
        <f>ABS(100*($B36-L$3)/L$3)</f>
        <v>3.3386399850871338</v>
      </c>
      <c r="M36" s="20">
        <f>ABS(100*($B36-M$3)/M$3)</f>
        <v>3.159043788016147</v>
      </c>
      <c r="N36" s="20">
        <f>ABS(100*($B36-N$3)/N$3)</f>
        <v>14.864926348999564</v>
      </c>
      <c r="O36" s="20">
        <f>ABS(100*($B36-O$3)/O$3)</f>
        <v>17.983102348035363</v>
      </c>
      <c r="P36" s="20">
        <f>ABS(100*($B36-P$3)/P$3)</f>
        <v>17.851130197757936</v>
      </c>
      <c r="Q36" s="20">
        <f>ABS(100*($B36-Q$3)/Q$3)</f>
        <v>20.272728763465292</v>
      </c>
      <c r="R36" s="20">
        <f>ABS(100*($B36-R$3)/R$3)</f>
        <v>18.547297211584347</v>
      </c>
      <c r="S36" s="20">
        <f>ABS(100*($B36-S$3)/S$3)</f>
        <v>17.424252322981985</v>
      </c>
      <c r="T36" s="20">
        <f>ABS(100*($B36-T$3)/T$3)</f>
        <v>15.588491932853094</v>
      </c>
      <c r="U36" s="20">
        <f>ABS(100*($B36-U$3)/U$3)</f>
        <v>16.741174954898163</v>
      </c>
      <c r="V36" s="20">
        <f>ABS(100*($B36-V$3)/V$3)</f>
        <v>17.719452957313507</v>
      </c>
      <c r="W36" s="20">
        <f>ABS(100*($B36-W$3)/W$3)</f>
        <v>16.61196502135649</v>
      </c>
      <c r="X36" s="20">
        <f>ABS(100*($B36-X$3)/X$3)</f>
        <v>12.41281450711719</v>
      </c>
      <c r="Y36" s="20">
        <f>ABS(100*($B36-Y$3)/Y$3)</f>
        <v>8.7295256932875045</v>
      </c>
      <c r="Z36" s="20">
        <f>ABS(100*($B36-Z$3)/Z$3)</f>
        <v>7.8944294898060203</v>
      </c>
      <c r="AA36" s="20">
        <f>ABS(100*($B36-AA$3)/AA$3)</f>
        <v>15.461819612926673</v>
      </c>
    </row>
    <row r="37" spans="1:27">
      <c r="A37" s="8" t="str">
        <f>MXenes!A36</f>
        <v>Ti2NbCNO2</v>
      </c>
      <c r="B37" s="18">
        <f>MXenes!D36</f>
        <v>3.04</v>
      </c>
      <c r="C37" s="19" t="str">
        <f>MXenes!B36</f>
        <v>ordered carbonitride</v>
      </c>
      <c r="D37" s="20">
        <f>ABS(100*($B37-D$3)/D$3)</f>
        <v>21.994529939962248</v>
      </c>
      <c r="E37" s="20">
        <f>ABS(100*($B37-E$3)/E$3)</f>
        <v>21.288981256395903</v>
      </c>
      <c r="F37" s="20">
        <f>ABS(100*($B37-F$3)/F$3)</f>
        <v>18.930239553354436</v>
      </c>
      <c r="G37" s="20">
        <f>ABS(100*($B37-G$3)/G$3)</f>
        <v>13.035947563080654</v>
      </c>
      <c r="H37" s="20">
        <f>ABS(100*($B37-H$3)/H$3)</f>
        <v>11.976069948799541</v>
      </c>
      <c r="I37" s="20">
        <f>ABS(100*($B37-I$3)/I$3)</f>
        <v>10.499633218038131</v>
      </c>
      <c r="J37" s="20">
        <f>ABS(100*($B37-J$3)/J$3)</f>
        <v>9.5646991415226896</v>
      </c>
      <c r="K37" s="20">
        <f>ABS(100*($B37-K$3)/K$3)</f>
        <v>6.1637996250051801</v>
      </c>
      <c r="L37" s="20">
        <f>ABS(100*($B37-L$3)/L$3)</f>
        <v>5.4192837431761385</v>
      </c>
      <c r="M37" s="20">
        <f>ABS(100*($B37-M$3)/M$3)</f>
        <v>5.2360715152916413</v>
      </c>
      <c r="N37" s="20">
        <f>ABS(100*($B37-N$3)/N$3)</f>
        <v>13.150797349314988</v>
      </c>
      <c r="O37" s="20">
        <f>ABS(100*($B37-O$3)/O$3)</f>
        <v>20.358601053029364</v>
      </c>
      <c r="P37" s="20">
        <f>ABS(100*($B37-P$3)/P$3)</f>
        <v>20.223971745363798</v>
      </c>
      <c r="Q37" s="20">
        <f>ABS(100*($B37-Q$3)/Q$3)</f>
        <v>22.694327329172648</v>
      </c>
      <c r="R37" s="20">
        <f>ABS(100*($B37-R$3)/R$3)</f>
        <v>20.934155544703493</v>
      </c>
      <c r="S37" s="20">
        <f>ABS(100*($B37-S$3)/S$3)</f>
        <v>19.788499014048739</v>
      </c>
      <c r="T37" s="20">
        <f>ABS(100*($B37-T$3)/T$3)</f>
        <v>17.915777005326646</v>
      </c>
      <c r="U37" s="20">
        <f>ABS(100*($B37-U$3)/U$3)</f>
        <v>19.091668410365916</v>
      </c>
      <c r="V37" s="20">
        <f>ABS(100*($B37-V$3)/V$3)</f>
        <v>20.089643285313109</v>
      </c>
      <c r="W37" s="20">
        <f>ABS(100*($B37-W$3)/W$3)</f>
        <v>18.95985693453817</v>
      </c>
      <c r="X37" s="20">
        <f>ABS(100*($B37-X$3)/X$3)</f>
        <v>14.676159765649754</v>
      </c>
      <c r="Y37" s="20">
        <f>ABS(100*($B37-Y$3)/Y$3)</f>
        <v>10.918710774360408</v>
      </c>
      <c r="Z37" s="20">
        <f>ABS(100*($B37-Z$3)/Z$3)</f>
        <v>10.066800553359164</v>
      </c>
      <c r="AA37" s="20">
        <f>ABS(100*($B37-AA$3)/AA$3)</f>
        <v>17.786554236005735</v>
      </c>
    </row>
    <row r="38" spans="1:27">
      <c r="A38" s="8" t="str">
        <f>MXenes!A37</f>
        <v>Ti2MoCNO2</v>
      </c>
      <c r="B38" s="18">
        <f>MXenes!D37</f>
        <v>3</v>
      </c>
      <c r="C38" s="19" t="str">
        <f>MXenes!B37</f>
        <v>ordered carbonitride</v>
      </c>
      <c r="D38" s="20">
        <f>ABS(100*($B38-D$3)/D$3)</f>
        <v>20.389338756541694</v>
      </c>
      <c r="E38" s="20">
        <f>ABS(100*($B38-E$3)/E$3)</f>
        <v>19.693073608285431</v>
      </c>
      <c r="F38" s="20">
        <f>ABS(100*($B38-F$3)/F$3)</f>
        <v>17.365367980283985</v>
      </c>
      <c r="G38" s="20">
        <f>ABS(100*($B38-G$3)/G$3)</f>
        <v>11.548632463566433</v>
      </c>
      <c r="H38" s="20">
        <f>ABS(100*($B38-H$3)/H$3)</f>
        <v>10.502700607367967</v>
      </c>
      <c r="I38" s="20">
        <f>ABS(100*($B38-I$3)/I$3)</f>
        <v>9.0456906756955231</v>
      </c>
      <c r="J38" s="20">
        <f>ABS(100*($B38-J$3)/J$3)</f>
        <v>8.1230583633447591</v>
      </c>
      <c r="K38" s="20">
        <f>ABS(100*($B38-K$3)/K$3)</f>
        <v>4.7669075246761627</v>
      </c>
      <c r="L38" s="20">
        <f>ABS(100*($B38-L$3)/L$3)</f>
        <v>4.0321879044501356</v>
      </c>
      <c r="M38" s="20">
        <f>ABS(100*($B38-M$3)/M$3)</f>
        <v>3.8513863637746453</v>
      </c>
      <c r="N38" s="20">
        <f>ABS(100*($B38-N$3)/N$3)</f>
        <v>14.29355001577137</v>
      </c>
      <c r="O38" s="20">
        <f>ABS(100*($B38-O$3)/O$3)</f>
        <v>18.774935249700029</v>
      </c>
      <c r="P38" s="20">
        <f>ABS(100*($B38-P$3)/P$3)</f>
        <v>18.642077380293223</v>
      </c>
      <c r="Q38" s="20">
        <f>ABS(100*($B38-Q$3)/Q$3)</f>
        <v>21.079928285367743</v>
      </c>
      <c r="R38" s="20">
        <f>ABS(100*($B38-R$3)/R$3)</f>
        <v>19.342916655957396</v>
      </c>
      <c r="S38" s="20">
        <f>ABS(100*($B38-S$3)/S$3)</f>
        <v>18.212334553337573</v>
      </c>
      <c r="T38" s="20">
        <f>ABS(100*($B38-T$3)/T$3)</f>
        <v>16.364253623677609</v>
      </c>
      <c r="U38" s="20">
        <f>ABS(100*($B38-U$3)/U$3)</f>
        <v>17.524672773387415</v>
      </c>
      <c r="V38" s="20">
        <f>ABS(100*($B38-V$3)/V$3)</f>
        <v>18.50951639998004</v>
      </c>
      <c r="W38" s="20">
        <f>ABS(100*($B38-W$3)/W$3)</f>
        <v>17.394595659083716</v>
      </c>
      <c r="X38" s="20">
        <f>ABS(100*($B38-X$3)/X$3)</f>
        <v>13.167262926628045</v>
      </c>
      <c r="Y38" s="20">
        <f>ABS(100*($B38-Y$3)/Y$3)</f>
        <v>9.4592540536451395</v>
      </c>
      <c r="Z38" s="20">
        <f>ABS(100*($B38-Z$3)/Z$3)</f>
        <v>8.6185531776570681</v>
      </c>
      <c r="AA38" s="20">
        <f>ABS(100*($B38-AA$3)/AA$3)</f>
        <v>16.236731153953027</v>
      </c>
    </row>
    <row r="39" spans="1:27">
      <c r="A39" s="8" t="str">
        <f>MXenes!A38</f>
        <v>Ti2TaCNO2</v>
      </c>
      <c r="B39" s="18">
        <f>MXenes!D38</f>
        <v>3.04</v>
      </c>
      <c r="C39" s="19" t="str">
        <f>MXenes!B38</f>
        <v>ordered carbonitride</v>
      </c>
      <c r="D39" s="20">
        <f>ABS(100*($B39-D$3)/D$3)</f>
        <v>21.994529939962248</v>
      </c>
      <c r="E39" s="20">
        <f>ABS(100*($B39-E$3)/E$3)</f>
        <v>21.288981256395903</v>
      </c>
      <c r="F39" s="20">
        <f>ABS(100*($B39-F$3)/F$3)</f>
        <v>18.930239553354436</v>
      </c>
      <c r="G39" s="20">
        <f>ABS(100*($B39-G$3)/G$3)</f>
        <v>13.035947563080654</v>
      </c>
      <c r="H39" s="20">
        <f>ABS(100*($B39-H$3)/H$3)</f>
        <v>11.976069948799541</v>
      </c>
      <c r="I39" s="20">
        <f>ABS(100*($B39-I$3)/I$3)</f>
        <v>10.499633218038131</v>
      </c>
      <c r="J39" s="20">
        <f>ABS(100*($B39-J$3)/J$3)</f>
        <v>9.5646991415226896</v>
      </c>
      <c r="K39" s="20">
        <f>ABS(100*($B39-K$3)/K$3)</f>
        <v>6.1637996250051801</v>
      </c>
      <c r="L39" s="20">
        <f>ABS(100*($B39-L$3)/L$3)</f>
        <v>5.4192837431761385</v>
      </c>
      <c r="M39" s="20">
        <f>ABS(100*($B39-M$3)/M$3)</f>
        <v>5.2360715152916413</v>
      </c>
      <c r="N39" s="20">
        <f>ABS(100*($B39-N$3)/N$3)</f>
        <v>13.150797349314988</v>
      </c>
      <c r="O39" s="20">
        <f>ABS(100*($B39-O$3)/O$3)</f>
        <v>20.358601053029364</v>
      </c>
      <c r="P39" s="20">
        <f>ABS(100*($B39-P$3)/P$3)</f>
        <v>20.223971745363798</v>
      </c>
      <c r="Q39" s="20">
        <f>ABS(100*($B39-Q$3)/Q$3)</f>
        <v>22.694327329172648</v>
      </c>
      <c r="R39" s="20">
        <f>ABS(100*($B39-R$3)/R$3)</f>
        <v>20.934155544703493</v>
      </c>
      <c r="S39" s="20">
        <f>ABS(100*($B39-S$3)/S$3)</f>
        <v>19.788499014048739</v>
      </c>
      <c r="T39" s="20">
        <f>ABS(100*($B39-T$3)/T$3)</f>
        <v>17.915777005326646</v>
      </c>
      <c r="U39" s="20">
        <f>ABS(100*($B39-U$3)/U$3)</f>
        <v>19.091668410365916</v>
      </c>
      <c r="V39" s="20">
        <f>ABS(100*($B39-V$3)/V$3)</f>
        <v>20.089643285313109</v>
      </c>
      <c r="W39" s="20">
        <f>ABS(100*($B39-W$3)/W$3)</f>
        <v>18.95985693453817</v>
      </c>
      <c r="X39" s="20">
        <f>ABS(100*($B39-X$3)/X$3)</f>
        <v>14.676159765649754</v>
      </c>
      <c r="Y39" s="20">
        <f>ABS(100*($B39-Y$3)/Y$3)</f>
        <v>10.918710774360408</v>
      </c>
      <c r="Z39" s="20">
        <f>ABS(100*($B39-Z$3)/Z$3)</f>
        <v>10.066800553359164</v>
      </c>
      <c r="AA39" s="20">
        <f>ABS(100*($B39-AA$3)/AA$3)</f>
        <v>17.786554236005735</v>
      </c>
    </row>
    <row r="40" spans="1:27">
      <c r="A40" s="8" t="str">
        <f>MXenes!A39</f>
        <v>V2TiCNO2</v>
      </c>
      <c r="B40" s="18">
        <f>MXenes!D39</f>
        <v>2.9</v>
      </c>
      <c r="C40" s="19" t="str">
        <f>MXenes!B39</f>
        <v>ordered carbonitride</v>
      </c>
      <c r="D40" s="20">
        <f>ABS(100*($B40-D$3)/D$3)</f>
        <v>16.376360797990298</v>
      </c>
      <c r="E40" s="20">
        <f>ABS(100*($B40-E$3)/E$3)</f>
        <v>15.703304488009246</v>
      </c>
      <c r="F40" s="20">
        <f>ABS(100*($B40-F$3)/F$3)</f>
        <v>13.453189047607847</v>
      </c>
      <c r="G40" s="20">
        <f>ABS(100*($B40-G$3)/G$3)</f>
        <v>7.8303447147808818</v>
      </c>
      <c r="H40" s="20">
        <f>ABS(100*($B40-H$3)/H$3)</f>
        <v>6.8192772537890303</v>
      </c>
      <c r="I40" s="20">
        <f>ABS(100*($B40-I$3)/I$3)</f>
        <v>5.4108343198390028</v>
      </c>
      <c r="J40" s="20">
        <f>ABS(100*($B40-J$3)/J$3)</f>
        <v>4.51895641789993</v>
      </c>
      <c r="K40" s="20">
        <f>ABS(100*($B40-K$3)/K$3)</f>
        <v>1.2746772738536212</v>
      </c>
      <c r="L40" s="20">
        <f>ABS(100*($B40-L$3)/L$3)</f>
        <v>0.56444830763512777</v>
      </c>
      <c r="M40" s="20">
        <f>ABS(100*($B40-M$3)/M$3)</f>
        <v>0.38967348498215393</v>
      </c>
      <c r="N40" s="20">
        <f>ABS(100*($B40-N$3)/N$3)</f>
        <v>17.150431681912327</v>
      </c>
      <c r="O40" s="20">
        <f>ABS(100*($B40-O$3)/O$3)</f>
        <v>14.815770741376692</v>
      </c>
      <c r="P40" s="20">
        <f>ABS(100*($B40-P$3)/P$3)</f>
        <v>14.687341467616779</v>
      </c>
      <c r="Q40" s="20">
        <f>ABS(100*($B40-Q$3)/Q$3)</f>
        <v>17.043930675855481</v>
      </c>
      <c r="R40" s="20">
        <f>ABS(100*($B40-R$3)/R$3)</f>
        <v>15.364819434092146</v>
      </c>
      <c r="S40" s="20">
        <f>ABS(100*($B40-S$3)/S$3)</f>
        <v>14.271923401559651</v>
      </c>
      <c r="T40" s="20">
        <f>ABS(100*($B40-T$3)/T$3)</f>
        <v>12.485445169555017</v>
      </c>
      <c r="U40" s="20">
        <f>ABS(100*($B40-U$3)/U$3)</f>
        <v>13.607183680941166</v>
      </c>
      <c r="V40" s="20">
        <f>ABS(100*($B40-V$3)/V$3)</f>
        <v>14.559199186647369</v>
      </c>
      <c r="W40" s="20">
        <f>ABS(100*($B40-W$3)/W$3)</f>
        <v>13.48144247044759</v>
      </c>
      <c r="X40" s="20">
        <f>ABS(100*($B40-X$3)/X$3)</f>
        <v>9.3950208290737738</v>
      </c>
      <c r="Y40" s="20">
        <f>ABS(100*($B40-Y$3)/Y$3)</f>
        <v>5.8106122518569636</v>
      </c>
      <c r="Z40" s="20">
        <f>ABS(100*($B40-Z$3)/Z$3)</f>
        <v>4.9979347384018293</v>
      </c>
      <c r="AA40" s="20">
        <f>ABS(100*($B40-AA$3)/AA$3)</f>
        <v>12.362173448821256</v>
      </c>
    </row>
    <row r="41" spans="1:27">
      <c r="A41" s="8" t="str">
        <f>MXenes!A40</f>
        <v>Nb2TiCNO2</v>
      </c>
      <c r="B41" s="18">
        <f>MXenes!D40</f>
        <v>3.05</v>
      </c>
      <c r="C41" s="19" t="str">
        <f>MXenes!B40</f>
        <v>ordered carbonitride</v>
      </c>
      <c r="D41" s="20">
        <f>ABS(100*($B41-D$3)/D$3)</f>
        <v>22.395827735817377</v>
      </c>
      <c r="E41" s="20">
        <f>ABS(100*($B41-E$3)/E$3)</f>
        <v>21.687958168423513</v>
      </c>
      <c r="F41" s="20">
        <f>ABS(100*($B41-F$3)/F$3)</f>
        <v>19.321457446622041</v>
      </c>
      <c r="G41" s="20">
        <f>ABS(100*($B41-G$3)/G$3)</f>
        <v>13.4077763379592</v>
      </c>
      <c r="H41" s="20">
        <f>ABS(100*($B41-H$3)/H$3)</f>
        <v>12.344412284157427</v>
      </c>
      <c r="I41" s="20">
        <f>ABS(100*($B41-I$3)/I$3)</f>
        <v>10.863118853623774</v>
      </c>
      <c r="J41" s="20">
        <f>ABS(100*($B41-J$3)/J$3)</f>
        <v>9.9251093360671643</v>
      </c>
      <c r="K41" s="20">
        <f>ABS(100*($B41-K$3)/K$3)</f>
        <v>6.5130226500874269</v>
      </c>
      <c r="L41" s="20">
        <f>ABS(100*($B41-L$3)/L$3)</f>
        <v>5.7660577028576316</v>
      </c>
      <c r="M41" s="20">
        <f>ABS(100*($B41-M$3)/M$3)</f>
        <v>5.5822428031708835</v>
      </c>
      <c r="N41" s="20">
        <f>ABS(100*($B41-N$3)/N$3)</f>
        <v>12.8651091827009</v>
      </c>
      <c r="O41" s="20">
        <f>ABS(100*($B41-O$3)/O$3)</f>
        <v>20.754517503861692</v>
      </c>
      <c r="P41" s="20">
        <f>ABS(100*($B41-P$3)/P$3)</f>
        <v>20.619445336631436</v>
      </c>
      <c r="Q41" s="20">
        <f>ABS(100*($B41-Q$3)/Q$3)</f>
        <v>23.097927090123868</v>
      </c>
      <c r="R41" s="20">
        <f>ABS(100*($B41-R$3)/R$3)</f>
        <v>21.331965266890013</v>
      </c>
      <c r="S41" s="20">
        <f>ABS(100*($B41-S$3)/S$3)</f>
        <v>20.182540129226524</v>
      </c>
      <c r="T41" s="20">
        <f>ABS(100*($B41-T$3)/T$3)</f>
        <v>18.303657850738897</v>
      </c>
      <c r="U41" s="20">
        <f>ABS(100*($B41-U$3)/U$3)</f>
        <v>19.483417319610531</v>
      </c>
      <c r="V41" s="20">
        <f>ABS(100*($B41-V$3)/V$3)</f>
        <v>20.48467500664637</v>
      </c>
      <c r="W41" s="20">
        <f>ABS(100*($B41-W$3)/W$3)</f>
        <v>19.351172253401771</v>
      </c>
      <c r="X41" s="20">
        <f>ABS(100*($B41-X$3)/X$3)</f>
        <v>15.05338397540517</v>
      </c>
      <c r="Y41" s="20">
        <f>ABS(100*($B41-Y$3)/Y$3)</f>
        <v>11.283574954539217</v>
      </c>
      <c r="Z41" s="20">
        <f>ABS(100*($B41-Z$3)/Z$3)</f>
        <v>10.428862397284679</v>
      </c>
      <c r="AA41" s="20">
        <f>ABS(100*($B41-AA$3)/AA$3)</f>
        <v>18.174010006518905</v>
      </c>
    </row>
    <row r="42" spans="1:27">
      <c r="A42" s="8" t="str">
        <f>MXenes!A41</f>
        <v>Zr2NbCNO2</v>
      </c>
      <c r="B42" s="18">
        <f>MXenes!D41</f>
        <v>3.22</v>
      </c>
      <c r="C42" s="19" t="str">
        <f>MXenes!B41</f>
        <v>ordered carbonitride</v>
      </c>
      <c r="D42" s="20">
        <f>ABS(100*($B42-D$3)/D$3)</f>
        <v>29.217890265354754</v>
      </c>
      <c r="E42" s="20">
        <f>ABS(100*($B42-E$3)/E$3)</f>
        <v>28.470565672893038</v>
      </c>
      <c r="F42" s="20">
        <f>ABS(100*($B42-F$3)/F$3)</f>
        <v>25.972161632171481</v>
      </c>
      <c r="G42" s="20">
        <f>ABS(100*($B42-G$3)/G$3)</f>
        <v>19.728865510894646</v>
      </c>
      <c r="H42" s="20">
        <f>ABS(100*($B42-H$3)/H$3)</f>
        <v>18.606231985241624</v>
      </c>
      <c r="I42" s="20">
        <f>ABS(100*($B42-I$3)/I$3)</f>
        <v>17.04237465857987</v>
      </c>
      <c r="J42" s="20">
        <f>ABS(100*($B42-J$3)/J$3)</f>
        <v>16.052082643323381</v>
      </c>
      <c r="K42" s="20">
        <f>ABS(100*($B42-K$3)/K$3)</f>
        <v>12.449814076485755</v>
      </c>
      <c r="L42" s="20">
        <f>ABS(100*($B42-L$3)/L$3)</f>
        <v>11.661215017443151</v>
      </c>
      <c r="M42" s="20">
        <f>ABS(100*($B42-M$3)/M$3)</f>
        <v>11.467154697118126</v>
      </c>
      <c r="N42" s="20">
        <f>ABS(100*($B42-N$3)/N$3)</f>
        <v>8.0084103502612667</v>
      </c>
      <c r="O42" s="20">
        <f>ABS(100*($B42-O$3)/O$3)</f>
        <v>27.485097168011372</v>
      </c>
      <c r="P42" s="20">
        <f>ABS(100*($B42-P$3)/P$3)</f>
        <v>27.342496388181399</v>
      </c>
      <c r="Q42" s="20">
        <f>ABS(100*($B42-Q$3)/Q$3)</f>
        <v>29.959123026294716</v>
      </c>
      <c r="R42" s="20">
        <f>ABS(100*($B42-R$3)/R$3)</f>
        <v>28.094730544060944</v>
      </c>
      <c r="S42" s="20">
        <f>ABS(100*($B42-S$3)/S$3)</f>
        <v>26.881239087249003</v>
      </c>
      <c r="T42" s="20">
        <f>ABS(100*($B42-T$3)/T$3)</f>
        <v>24.897632222747308</v>
      </c>
      <c r="U42" s="20">
        <f>ABS(100*($B42-U$3)/U$3)</f>
        <v>26.143148776769166</v>
      </c>
      <c r="V42" s="20">
        <f>ABS(100*($B42-V$3)/V$3)</f>
        <v>27.200214269311921</v>
      </c>
      <c r="W42" s="20">
        <f>ABS(100*($B42-W$3)/W$3)</f>
        <v>26.003532674083196</v>
      </c>
      <c r="X42" s="20">
        <f>ABS(100*($B42-X$3)/X$3)</f>
        <v>21.466195541247444</v>
      </c>
      <c r="Y42" s="20">
        <f>ABS(100*($B42-Y$3)/Y$3)</f>
        <v>17.486266017579123</v>
      </c>
      <c r="Z42" s="20">
        <f>ABS(100*($B42-Z$3)/Z$3)</f>
        <v>16.583913744018592</v>
      </c>
      <c r="AA42" s="20">
        <f>ABS(100*($B42-AA$3)/AA$3)</f>
        <v>24.760758105242925</v>
      </c>
    </row>
    <row r="43" spans="1:27">
      <c r="A43" s="8" t="str">
        <f>MXenes!A42</f>
        <v>Mo2TiCNO2</v>
      </c>
      <c r="B43" s="18">
        <f>MXenes!D42</f>
        <v>2.91</v>
      </c>
      <c r="C43" s="19" t="str">
        <f>MXenes!B42</f>
        <v>ordered carbonitride</v>
      </c>
      <c r="D43" s="20">
        <f>ABS(100*($B43-D$3)/D$3)</f>
        <v>16.777658593845448</v>
      </c>
      <c r="E43" s="20">
        <f>ABS(100*($B43-E$3)/E$3)</f>
        <v>16.102281400036876</v>
      </c>
      <c r="F43" s="20">
        <f>ABS(100*($B43-F$3)/F$3)</f>
        <v>13.844406940875471</v>
      </c>
      <c r="G43" s="20">
        <f>ABS(100*($B43-G$3)/G$3)</f>
        <v>8.2021734896594456</v>
      </c>
      <c r="H43" s="20">
        <f>ABS(100*($B43-H$3)/H$3)</f>
        <v>7.1876195891469328</v>
      </c>
      <c r="I43" s="20">
        <f>ABS(100*($B43-I$3)/I$3)</f>
        <v>5.7743199554246623</v>
      </c>
      <c r="J43" s="20">
        <f>ABS(100*($B43-J$3)/J$3)</f>
        <v>4.8793666124444206</v>
      </c>
      <c r="K43" s="20">
        <f>ABS(100*($B43-K$3)/K$3)</f>
        <v>1.6239002989358831</v>
      </c>
      <c r="L43" s="20">
        <f>ABS(100*($B43-L$3)/L$3)</f>
        <v>0.91122226731663625</v>
      </c>
      <c r="M43" s="20">
        <f>ABS(100*($B43-M$3)/M$3)</f>
        <v>0.7358447728614107</v>
      </c>
      <c r="N43" s="20">
        <f>ABS(100*($B43-N$3)/N$3)</f>
        <v>16.864743515298226</v>
      </c>
      <c r="O43" s="20">
        <f>ABS(100*($B43-O$3)/O$3)</f>
        <v>15.211687192209034</v>
      </c>
      <c r="P43" s="20">
        <f>ABS(100*($B43-P$3)/P$3)</f>
        <v>15.082815058884432</v>
      </c>
      <c r="Q43" s="20">
        <f>ABS(100*($B43-Q$3)/Q$3)</f>
        <v>17.447530436806716</v>
      </c>
      <c r="R43" s="20">
        <f>ABS(100*($B43-R$3)/R$3)</f>
        <v>15.762629156278679</v>
      </c>
      <c r="S43" s="20">
        <f>ABS(100*($B43-S$3)/S$3)</f>
        <v>14.665964516737452</v>
      </c>
      <c r="T43" s="20">
        <f>ABS(100*($B43-T$3)/T$3)</f>
        <v>12.873326014967288</v>
      </c>
      <c r="U43" s="20">
        <f>ABS(100*($B43-U$3)/U$3)</f>
        <v>13.998932590185799</v>
      </c>
      <c r="V43" s="20">
        <f>ABS(100*($B43-V$3)/V$3)</f>
        <v>14.954230907980644</v>
      </c>
      <c r="W43" s="20">
        <f>ABS(100*($B43-W$3)/W$3)</f>
        <v>13.87275778931121</v>
      </c>
      <c r="X43" s="20">
        <f>ABS(100*($B43-X$3)/X$3)</f>
        <v>9.7722450388292081</v>
      </c>
      <c r="Y43" s="20">
        <f>ABS(100*($B43-Y$3)/Y$3)</f>
        <v>6.17547643203579</v>
      </c>
      <c r="Z43" s="20">
        <f>ABS(100*($B43-Z$3)/Z$3)</f>
        <v>5.3599965823273612</v>
      </c>
      <c r="AA43" s="20">
        <f>ABS(100*($B43-AA$3)/AA$3)</f>
        <v>12.749629219334441</v>
      </c>
    </row>
    <row r="44" spans="1:27">
      <c r="A44" s="8" t="str">
        <f>MXenes!A43</f>
        <v>Mo2NbCNO2</v>
      </c>
      <c r="B44" s="18">
        <f>MXenes!D43</f>
        <v>3.01</v>
      </c>
      <c r="C44" s="19" t="str">
        <f>MXenes!B43</f>
        <v>ordered carbonitride</v>
      </c>
      <c r="D44" s="20">
        <f>ABS(100*($B44-D$3)/D$3)</f>
        <v>20.790636552396819</v>
      </c>
      <c r="E44" s="20">
        <f>ABS(100*($B44-E$3)/E$3)</f>
        <v>20.092050520313041</v>
      </c>
      <c r="F44" s="20">
        <f>ABS(100*($B44-F$3)/F$3)</f>
        <v>17.75658587355159</v>
      </c>
      <c r="G44" s="20">
        <f>ABS(100*($B44-G$3)/G$3)</f>
        <v>11.920461238444979</v>
      </c>
      <c r="H44" s="20">
        <f>ABS(100*($B44-H$3)/H$3)</f>
        <v>10.871042942725852</v>
      </c>
      <c r="I44" s="20">
        <f>ABS(100*($B44-I$3)/I$3)</f>
        <v>9.4091763112811684</v>
      </c>
      <c r="J44" s="20">
        <f>ABS(100*($B44-J$3)/J$3)</f>
        <v>8.4834685578892337</v>
      </c>
      <c r="K44" s="20">
        <f>ABS(100*($B44-K$3)/K$3)</f>
        <v>5.1161305497584095</v>
      </c>
      <c r="L44" s="20">
        <f>ABS(100*($B44-L$3)/L$3)</f>
        <v>4.3789618641316288</v>
      </c>
      <c r="M44" s="20">
        <f>ABS(100*($B44-M$3)/M$3)</f>
        <v>4.1975576516538871</v>
      </c>
      <c r="N44" s="20">
        <f>ABS(100*($B44-N$3)/N$3)</f>
        <v>14.007861849157281</v>
      </c>
      <c r="O44" s="20">
        <f>ABS(100*($B44-O$3)/O$3)</f>
        <v>19.170851700532353</v>
      </c>
      <c r="P44" s="20">
        <f>ABS(100*($B44-P$3)/P$3)</f>
        <v>19.037550971560858</v>
      </c>
      <c r="Q44" s="20">
        <f>ABS(100*($B44-Q$3)/Q$3)</f>
        <v>21.483528046318959</v>
      </c>
      <c r="R44" s="20">
        <f>ABS(100*($B44-R$3)/R$3)</f>
        <v>19.740726378143911</v>
      </c>
      <c r="S44" s="20">
        <f>ABS(100*($B44-S$3)/S$3)</f>
        <v>18.606375668515355</v>
      </c>
      <c r="T44" s="20">
        <f>ABS(100*($B44-T$3)/T$3)</f>
        <v>16.75213446908986</v>
      </c>
      <c r="U44" s="20">
        <f>ABS(100*($B44-U$3)/U$3)</f>
        <v>17.916421682632031</v>
      </c>
      <c r="V44" s="20">
        <f>ABS(100*($B44-V$3)/V$3)</f>
        <v>18.904548121313301</v>
      </c>
      <c r="W44" s="20">
        <f>ABS(100*($B44-W$3)/W$3)</f>
        <v>17.785910977947321</v>
      </c>
      <c r="X44" s="20">
        <f>ABS(100*($B44-X$3)/X$3)</f>
        <v>13.544487136383463</v>
      </c>
      <c r="Y44" s="20">
        <f>ABS(100*($B44-Y$3)/Y$3)</f>
        <v>9.824118233823949</v>
      </c>
      <c r="Z44" s="20">
        <f>ABS(100*($B44-Z$3)/Z$3)</f>
        <v>8.9806150215825848</v>
      </c>
      <c r="AA44" s="20">
        <f>ABS(100*($B44-AA$3)/AA$3)</f>
        <v>16.624186924466194</v>
      </c>
    </row>
    <row r="45" spans="1:27">
      <c r="A45" s="8" t="str">
        <f>MXenes!A44</f>
        <v>Cr2TiCNO2</v>
      </c>
      <c r="B45" s="18">
        <f>MXenes!D44</f>
        <v>2.86</v>
      </c>
      <c r="C45" s="19" t="str">
        <f>MXenes!B44</f>
        <v>ordered carbonitride</v>
      </c>
      <c r="D45" s="20">
        <f>ABS(100*($B45-D$3)/D$3)</f>
        <v>14.771169614569741</v>
      </c>
      <c r="E45" s="20">
        <f>ABS(100*($B45-E$3)/E$3)</f>
        <v>14.107396839898774</v>
      </c>
      <c r="F45" s="20">
        <f>ABS(100*($B45-F$3)/F$3)</f>
        <v>11.888317474537393</v>
      </c>
      <c r="G45" s="20">
        <f>ABS(100*($B45-G$3)/G$3)</f>
        <v>6.343029615266663</v>
      </c>
      <c r="H45" s="20">
        <f>ABS(100*($B45-H$3)/H$3)</f>
        <v>5.3459079123574567</v>
      </c>
      <c r="I45" s="20">
        <f>ABS(100*($B45-I$3)/I$3)</f>
        <v>3.9568917774963941</v>
      </c>
      <c r="J45" s="20">
        <f>ABS(100*($B45-J$3)/J$3)</f>
        <v>3.0773156397219985</v>
      </c>
      <c r="K45" s="20">
        <f>ABS(100*($B45-K$3)/K$3)</f>
        <v>0.12221482647539555</v>
      </c>
      <c r="L45" s="20">
        <f>ABS(100*($B45-L$3)/L$3)</f>
        <v>0.82264753109087529</v>
      </c>
      <c r="M45" s="20">
        <f>ABS(100*($B45-M$3)/M$3)</f>
        <v>0.99501166653484252</v>
      </c>
      <c r="N45" s="20">
        <f>ABS(100*($B45-N$3)/N$3)</f>
        <v>18.293184348368712</v>
      </c>
      <c r="O45" s="20">
        <f>ABS(100*($B45-O$3)/O$3)</f>
        <v>13.232104938047359</v>
      </c>
      <c r="P45" s="20">
        <f>ABS(100*($B45-P$3)/P$3)</f>
        <v>13.105447102546201</v>
      </c>
      <c r="Q45" s="20">
        <f>ABS(100*($B45-Q$3)/Q$3)</f>
        <v>15.429531632050576</v>
      </c>
      <c r="R45" s="20">
        <f>ABS(100*($B45-R$3)/R$3)</f>
        <v>13.773580545346045</v>
      </c>
      <c r="S45" s="20">
        <f>ABS(100*($B45-S$3)/S$3)</f>
        <v>12.695758940848481</v>
      </c>
      <c r="T45" s="20">
        <f>ABS(100*($B45-T$3)/T$3)</f>
        <v>10.933921787905984</v>
      </c>
      <c r="U45" s="20">
        <f>ABS(100*($B45-U$3)/U$3)</f>
        <v>12.040188043962665</v>
      </c>
      <c r="V45" s="20">
        <f>ABS(100*($B45-V$3)/V$3)</f>
        <v>12.979072301314302</v>
      </c>
      <c r="W45" s="20">
        <f>ABS(100*($B45-W$3)/W$3)</f>
        <v>11.916181194993138</v>
      </c>
      <c r="X45" s="20">
        <f>ABS(100*($B45-X$3)/X$3)</f>
        <v>7.8861239900520639</v>
      </c>
      <c r="Y45" s="20">
        <f>ABS(100*($B45-Y$3)/Y$3)</f>
        <v>4.3511555311416945</v>
      </c>
      <c r="Z45" s="20">
        <f>ABS(100*($B45-Z$3)/Z$3)</f>
        <v>3.5496873626997338</v>
      </c>
      <c r="AA45" s="20">
        <f>ABS(100*($B45-AA$3)/AA$3)</f>
        <v>10.812350366768548</v>
      </c>
    </row>
    <row r="46" spans="1:27">
      <c r="A46" s="8" t="str">
        <f>MXenes!A45</f>
        <v>(Ti0.5Nb0.5)2C</v>
      </c>
      <c r="B46" s="18">
        <f>MXenes!D45</f>
        <v>3.0720000000000001</v>
      </c>
      <c r="C46" s="19" t="str">
        <f>MXenes!B45</f>
        <v>solid solution</v>
      </c>
      <c r="D46" s="20">
        <f>ABS(100*($B46-D$3)/D$3)</f>
        <v>23.278682886698693</v>
      </c>
      <c r="E46" s="20">
        <f>ABS(100*($B46-E$3)/E$3)</f>
        <v>22.565707374884283</v>
      </c>
      <c r="F46" s="20">
        <f>ABS(100*($B46-F$3)/F$3)</f>
        <v>20.182136811810803</v>
      </c>
      <c r="G46" s="20">
        <f>ABS(100*($B46-G$3)/G$3)</f>
        <v>14.22579964269203</v>
      </c>
      <c r="H46" s="20">
        <f>ABS(100*($B46-H$3)/H$3)</f>
        <v>13.1547654219448</v>
      </c>
      <c r="I46" s="20">
        <f>ABS(100*($B46-I$3)/I$3)</f>
        <v>11.662787251912217</v>
      </c>
      <c r="J46" s="20">
        <f>ABS(100*($B46-J$3)/J$3)</f>
        <v>10.718011764065034</v>
      </c>
      <c r="K46" s="20">
        <f>ABS(100*($B46-K$3)/K$3)</f>
        <v>7.2813133052683936</v>
      </c>
      <c r="L46" s="20">
        <f>ABS(100*($B46-L$3)/L$3)</f>
        <v>6.5289604141569413</v>
      </c>
      <c r="M46" s="20">
        <f>ABS(100*($B46-M$3)/M$3)</f>
        <v>6.3438196365052386</v>
      </c>
      <c r="N46" s="20">
        <f>ABS(100*($B46-N$3)/N$3)</f>
        <v>12.236595216149883</v>
      </c>
      <c r="O46" s="20">
        <f>ABS(100*($B46-O$3)/O$3)</f>
        <v>21.625533695692834</v>
      </c>
      <c r="P46" s="20">
        <f>ABS(100*($B46-P$3)/P$3)</f>
        <v>21.48948723742026</v>
      </c>
      <c r="Q46" s="20">
        <f>ABS(100*($B46-Q$3)/Q$3)</f>
        <v>23.985846564216569</v>
      </c>
      <c r="R46" s="20">
        <f>ABS(100*($B46-R$3)/R$3)</f>
        <v>22.207146655700374</v>
      </c>
      <c r="S46" s="20">
        <f>ABS(100*($B46-S$3)/S$3)</f>
        <v>21.049430582617674</v>
      </c>
      <c r="T46" s="20">
        <f>ABS(100*($B46-T$3)/T$3)</f>
        <v>19.156995710645873</v>
      </c>
      <c r="U46" s="20">
        <f>ABS(100*($B46-U$3)/U$3)</f>
        <v>20.345264919948715</v>
      </c>
      <c r="V46" s="20">
        <f>ABS(100*($B46-V$3)/V$3)</f>
        <v>21.353744793579565</v>
      </c>
      <c r="W46" s="20">
        <f>ABS(100*($B46-W$3)/W$3)</f>
        <v>20.212065954901728</v>
      </c>
      <c r="X46" s="20">
        <f>ABS(100*($B46-X$3)/X$3)</f>
        <v>15.883277236867121</v>
      </c>
      <c r="Y46" s="20">
        <f>ABS(100*($B46-Y$3)/Y$3)</f>
        <v>12.086276150932624</v>
      </c>
      <c r="Z46" s="20">
        <f>ABS(100*($B46-Z$3)/Z$3)</f>
        <v>11.225398453920839</v>
      </c>
      <c r="AA46" s="20">
        <f>ABS(100*($B46-AA$3)/AA$3)</f>
        <v>19.026412701647903</v>
      </c>
    </row>
    <row r="47" spans="1:27">
      <c r="A47" s="8" t="str">
        <f>MXenes!A46</f>
        <v>(Ti0.5V0.5)2C</v>
      </c>
      <c r="B47" s="18">
        <f>MXenes!D46</f>
        <v>2.96</v>
      </c>
      <c r="C47" s="19" t="str">
        <f>MXenes!B46</f>
        <v>solid solution</v>
      </c>
      <c r="D47" s="20">
        <f>ABS(100*($B47-D$3)/D$3)</f>
        <v>18.784147573121135</v>
      </c>
      <c r="E47" s="20">
        <f>ABS(100*($B47-E$3)/E$3)</f>
        <v>18.097165960174959</v>
      </c>
      <c r="F47" s="20">
        <f>ABS(100*($B47-F$3)/F$3)</f>
        <v>15.800496407213529</v>
      </c>
      <c r="G47" s="20">
        <f>ABS(100*($B47-G$3)/G$3)</f>
        <v>10.061317364052213</v>
      </c>
      <c r="H47" s="20">
        <f>ABS(100*($B47-H$3)/H$3)</f>
        <v>9.029331265936392</v>
      </c>
      <c r="I47" s="20">
        <f>ABS(100*($B47-I$3)/I$3)</f>
        <v>7.5917481333529144</v>
      </c>
      <c r="J47" s="20">
        <f>ABS(100*($B47-J$3)/J$3)</f>
        <v>6.6814175851668267</v>
      </c>
      <c r="K47" s="20">
        <f>ABS(100*($B47-K$3)/K$3)</f>
        <v>3.3700154243471463</v>
      </c>
      <c r="L47" s="20">
        <f>ABS(100*($B47-L$3)/L$3)</f>
        <v>2.6450920657241324</v>
      </c>
      <c r="M47" s="20">
        <f>ABS(100*($B47-M$3)/M$3)</f>
        <v>2.4667012122576488</v>
      </c>
      <c r="N47" s="20">
        <f>ABS(100*($B47-N$3)/N$3)</f>
        <v>15.436302682227755</v>
      </c>
      <c r="O47" s="20">
        <f>ABS(100*($B47-O$3)/O$3)</f>
        <v>17.191269446370697</v>
      </c>
      <c r="P47" s="20">
        <f>ABS(100*($B47-P$3)/P$3)</f>
        <v>17.060183015222645</v>
      </c>
      <c r="Q47" s="20">
        <f>ABS(100*($B47-Q$3)/Q$3)</f>
        <v>19.465529241562841</v>
      </c>
      <c r="R47" s="20">
        <f>ABS(100*($B47-R$3)/R$3)</f>
        <v>17.751677767211298</v>
      </c>
      <c r="S47" s="20">
        <f>ABS(100*($B47-S$3)/S$3)</f>
        <v>16.636170092626404</v>
      </c>
      <c r="T47" s="20">
        <f>ABS(100*($B47-T$3)/T$3)</f>
        <v>14.812730242028573</v>
      </c>
      <c r="U47" s="20">
        <f>ABS(100*($B47-U$3)/U$3)</f>
        <v>15.957677136408915</v>
      </c>
      <c r="V47" s="20">
        <f>ABS(100*($B47-V$3)/V$3)</f>
        <v>16.929389514646974</v>
      </c>
      <c r="W47" s="20">
        <f>ABS(100*($B47-W$3)/W$3)</f>
        <v>15.829334383629266</v>
      </c>
      <c r="X47" s="20">
        <f>ABS(100*($B47-X$3)/X$3)</f>
        <v>11.658366087606336</v>
      </c>
      <c r="Y47" s="20">
        <f>ABS(100*($B47-Y$3)/Y$3)</f>
        <v>7.9997973329298677</v>
      </c>
      <c r="Z47" s="20">
        <f>ABS(100*($B47-Z$3)/Z$3)</f>
        <v>7.1703058019549717</v>
      </c>
      <c r="AA47" s="20">
        <f>ABS(100*($B47-AA$3)/AA$3)</f>
        <v>14.686908071900319</v>
      </c>
    </row>
    <row r="48" spans="1:27">
      <c r="A48" s="8" t="str">
        <f>MXenes!A47</f>
        <v>(V0.5Nb0.5)2C</v>
      </c>
      <c r="B48" s="18">
        <f>MXenes!D47</f>
        <v>2.9929999999999999</v>
      </c>
      <c r="C48" s="19" t="str">
        <f>MXenes!B47</f>
        <v>solid solution</v>
      </c>
      <c r="D48" s="20">
        <f>ABS(100*($B48-D$3)/D$3)</f>
        <v>20.108430299443089</v>
      </c>
      <c r="E48" s="20">
        <f>ABS(100*($B48-E$3)/E$3)</f>
        <v>19.413789769866092</v>
      </c>
      <c r="F48" s="20">
        <f>ABS(100*($B48-F$3)/F$3)</f>
        <v>17.091515454996649</v>
      </c>
      <c r="G48" s="20">
        <f>ABS(100*($B48-G$3)/G$3)</f>
        <v>11.288352321151441</v>
      </c>
      <c r="H48" s="20">
        <f>ABS(100*($B48-H$3)/H$3)</f>
        <v>10.244860972617436</v>
      </c>
      <c r="I48" s="20">
        <f>ABS(100*($B48-I$3)/I$3)</f>
        <v>8.7912507307855634</v>
      </c>
      <c r="J48" s="20">
        <f>ABS(100*($B48-J$3)/J$3)</f>
        <v>7.8707712271636154</v>
      </c>
      <c r="K48" s="20">
        <f>ABS(100*($B48-K$3)/K$3)</f>
        <v>4.5224514071185808</v>
      </c>
      <c r="L48" s="20">
        <f>ABS(100*($B48-L$3)/L$3)</f>
        <v>3.7894461326730808</v>
      </c>
      <c r="M48" s="20">
        <f>ABS(100*($B48-M$3)/M$3)</f>
        <v>3.6090664622591668</v>
      </c>
      <c r="N48" s="20">
        <f>ABS(100*($B48-N$3)/N$3)</f>
        <v>14.493531732401241</v>
      </c>
      <c r="O48" s="20">
        <f>ABS(100*($B48-O$3)/O$3)</f>
        <v>18.497793734117391</v>
      </c>
      <c r="P48" s="20">
        <f>ABS(100*($B48-P$3)/P$3)</f>
        <v>18.365245866405868</v>
      </c>
      <c r="Q48" s="20">
        <f>ABS(100*($B48-Q$3)/Q$3)</f>
        <v>20.79740845270188</v>
      </c>
      <c r="R48" s="20">
        <f>ABS(100*($B48-R$3)/R$3)</f>
        <v>19.064449850426826</v>
      </c>
      <c r="S48" s="20">
        <f>ABS(100*($B48-S$3)/S$3)</f>
        <v>17.936505772713115</v>
      </c>
      <c r="T48" s="20">
        <f>ABS(100*($B48-T$3)/T$3)</f>
        <v>16.092737031889023</v>
      </c>
      <c r="U48" s="20">
        <f>ABS(100*($B48-U$3)/U$3)</f>
        <v>17.250448536916174</v>
      </c>
      <c r="V48" s="20">
        <f>ABS(100*($B48-V$3)/V$3)</f>
        <v>18.23299419504675</v>
      </c>
      <c r="W48" s="20">
        <f>ABS(100*($B48-W$3)/W$3)</f>
        <v>17.120674935879183</v>
      </c>
      <c r="X48" s="20">
        <f>ABS(100*($B48-X$3)/X$3)</f>
        <v>12.903205979799242</v>
      </c>
      <c r="Y48" s="20">
        <f>ABS(100*($B48-Y$3)/Y$3)</f>
        <v>9.2038491275199625</v>
      </c>
      <c r="Z48" s="20">
        <f>ABS(100*($B48-Z$3)/Z$3)</f>
        <v>8.3651098869091971</v>
      </c>
      <c r="AA48" s="20">
        <f>ABS(100*($B48-AA$3)/AA$3)</f>
        <v>15.965512114593798</v>
      </c>
    </row>
    <row r="49" spans="1:27">
      <c r="A49" s="8" t="str">
        <f>MXenes!A48</f>
        <v>(Mo0.5Ti0.5)3C2</v>
      </c>
      <c r="B49" s="18">
        <f>MXenes!D48</f>
        <v>3.0649999999999999</v>
      </c>
      <c r="C49" s="19" t="str">
        <f>MXenes!B48</f>
        <v>solid solution</v>
      </c>
      <c r="D49" s="20">
        <f>ABS(100*($B49-D$3)/D$3)</f>
        <v>22.997774429600092</v>
      </c>
      <c r="E49" s="20">
        <f>ABS(100*($B49-E$3)/E$3)</f>
        <v>22.286423536464948</v>
      </c>
      <c r="F49" s="20">
        <f>ABS(100*($B49-F$3)/F$3)</f>
        <v>19.908284286523468</v>
      </c>
      <c r="G49" s="20">
        <f>ABS(100*($B49-G$3)/G$3)</f>
        <v>13.965519500277038</v>
      </c>
      <c r="H49" s="20">
        <f>ABS(100*($B49-H$3)/H$3)</f>
        <v>12.89692578719427</v>
      </c>
      <c r="I49" s="20">
        <f>ABS(100*($B49-I$3)/I$3)</f>
        <v>11.408347307002257</v>
      </c>
      <c r="J49" s="20">
        <f>ABS(100*($B49-J$3)/J$3)</f>
        <v>10.465724627883894</v>
      </c>
      <c r="K49" s="20">
        <f>ABS(100*($B49-K$3)/K$3)</f>
        <v>7.0368571877108117</v>
      </c>
      <c r="L49" s="20">
        <f>ABS(100*($B49-L$3)/L$3)</f>
        <v>6.286218642379886</v>
      </c>
      <c r="M49" s="20">
        <f>ABS(100*($B49-M$3)/M$3)</f>
        <v>6.1014997349897602</v>
      </c>
      <c r="N49" s="20">
        <f>ABS(100*($B49-N$3)/N$3)</f>
        <v>12.436576932779753</v>
      </c>
      <c r="O49" s="20">
        <f>ABS(100*($B49-O$3)/O$3)</f>
        <v>21.348392180110192</v>
      </c>
      <c r="P49" s="20">
        <f>ABS(100*($B49-P$3)/P$3)</f>
        <v>21.212655723532908</v>
      </c>
      <c r="Q49" s="20">
        <f>ABS(100*($B49-Q$3)/Q$3)</f>
        <v>23.703326731550707</v>
      </c>
      <c r="R49" s="20">
        <f>ABS(100*($B49-R$3)/R$3)</f>
        <v>21.928679850169804</v>
      </c>
      <c r="S49" s="20">
        <f>ABS(100*($B49-S$3)/S$3)</f>
        <v>20.773601801993216</v>
      </c>
      <c r="T49" s="20">
        <f>ABS(100*($B49-T$3)/T$3)</f>
        <v>18.88547911885729</v>
      </c>
      <c r="U49" s="20">
        <f>ABS(100*($B49-U$3)/U$3)</f>
        <v>20.071040683477474</v>
      </c>
      <c r="V49" s="20">
        <f>ABS(100*($B49-V$3)/V$3)</f>
        <v>21.077222588646276</v>
      </c>
      <c r="W49" s="20">
        <f>ABS(100*($B49-W$3)/W$3)</f>
        <v>19.938145231697195</v>
      </c>
      <c r="X49" s="20">
        <f>ABS(100*($B49-X$3)/X$3)</f>
        <v>15.619220290038315</v>
      </c>
      <c r="Y49" s="20">
        <f>ABS(100*($B49-Y$3)/Y$3)</f>
        <v>11.830871224807447</v>
      </c>
      <c r="Z49" s="20">
        <f>ABS(100*($B49-Z$3)/Z$3)</f>
        <v>10.97195516317297</v>
      </c>
      <c r="AA49" s="20">
        <f>ABS(100*($B49-AA$3)/AA$3)</f>
        <v>18.755193662288676</v>
      </c>
    </row>
    <row r="50" spans="1:27">
      <c r="A50" s="8" t="str">
        <f>MXenes!A49</f>
        <v>Ti3C2Tx</v>
      </c>
      <c r="B50" s="18">
        <f>MXenes!D49</f>
        <v>3.0505</v>
      </c>
      <c r="C50" s="19" t="str">
        <f>MXenes!B49</f>
        <v>experimental</v>
      </c>
      <c r="D50" s="20">
        <f>ABS(100*($B50-D$3)/D$3)</f>
        <v>22.415892625610145</v>
      </c>
      <c r="E50" s="20">
        <f>ABS(100*($B50-E$3)/E$3)</f>
        <v>21.707907014024904</v>
      </c>
      <c r="F50" s="20">
        <f>ABS(100*($B50-F$3)/F$3)</f>
        <v>19.34101834128543</v>
      </c>
      <c r="G50" s="20">
        <f>ABS(100*($B50-G$3)/G$3)</f>
        <v>13.426367776703136</v>
      </c>
      <c r="H50" s="20">
        <f>ABS(100*($B50-H$3)/H$3)</f>
        <v>12.362829400925328</v>
      </c>
      <c r="I50" s="20">
        <f>ABS(100*($B50-I$3)/I$3)</f>
        <v>10.881293135403064</v>
      </c>
      <c r="J50" s="20">
        <f>ABS(100*($B50-J$3)/J$3)</f>
        <v>9.9431298457943953</v>
      </c>
      <c r="K50" s="20">
        <f>ABS(100*($B50-K$3)/K$3)</f>
        <v>6.5304838013415445</v>
      </c>
      <c r="L50" s="20">
        <f>ABS(100*($B50-L$3)/L$3)</f>
        <v>5.7833964008417125</v>
      </c>
      <c r="M50" s="20">
        <f>ABS(100*($B50-M$3)/M$3)</f>
        <v>5.5995513675648505</v>
      </c>
      <c r="N50" s="20">
        <f>ABS(100*($B50-N$3)/N$3)</f>
        <v>12.850824774370189</v>
      </c>
      <c r="O50" s="20">
        <f>ABS(100*($B50-O$3)/O$3)</f>
        <v>20.774313326403316</v>
      </c>
      <c r="P50" s="20">
        <f>ABS(100*($B50-P$3)/P$3)</f>
        <v>20.639219016194826</v>
      </c>
      <c r="Q50" s="20">
        <f>ABS(100*($B50-Q$3)/Q$3)</f>
        <v>23.118107078171434</v>
      </c>
      <c r="R50" s="20">
        <f>ABS(100*($B50-R$3)/R$3)</f>
        <v>21.351855752999345</v>
      </c>
      <c r="S50" s="20">
        <f>ABS(100*($B50-S$3)/S$3)</f>
        <v>20.202242184985423</v>
      </c>
      <c r="T50" s="20">
        <f>ABS(100*($B50-T$3)/T$3)</f>
        <v>18.323051893009517</v>
      </c>
      <c r="U50" s="20">
        <f>ABS(100*($B50-U$3)/U$3)</f>
        <v>19.50300476507277</v>
      </c>
      <c r="V50" s="20">
        <f>ABS(100*($B50-V$3)/V$3)</f>
        <v>20.504426592713038</v>
      </c>
      <c r="W50" s="20">
        <f>ABS(100*($B50-W$3)/W$3)</f>
        <v>19.370738019344959</v>
      </c>
      <c r="X50" s="20">
        <f>ABS(100*($B50-X$3)/X$3)</f>
        <v>15.07224518589295</v>
      </c>
      <c r="Y50" s="20">
        <f>ABS(100*($B50-Y$3)/Y$3)</f>
        <v>11.301818163548164</v>
      </c>
      <c r="Z50" s="20">
        <f>ABS(100*($B50-Z$3)/Z$3)</f>
        <v>10.446965489480961</v>
      </c>
      <c r="AA50" s="20">
        <f>ABS(100*($B50-AA$3)/AA$3)</f>
        <v>18.193382795044567</v>
      </c>
    </row>
  </sheetData>
  <autoFilter ref="A4:AA50" xr:uid="{00000000-0009-0000-0000-000004000000}"/>
  <mergeCells count="2">
    <mergeCell ref="A1:AA1"/>
    <mergeCell ref="A2:AA2"/>
  </mergeCells>
  <conditionalFormatting sqref="D5:AA50">
    <cfRule type="colorScale" priority="2">
      <colorScale>
        <cfvo type="num" val="0"/>
        <cfvo type="num" val="5"/>
        <cfvo type="num" val="12"/>
        <color rgb="FF63BE7B"/>
        <color rgb="FFFFEB84"/>
        <color rgb="FFF8696B"/>
      </colorScale>
    </cfRule>
  </conditionalFormatting>
  <pageMargins left="0.4" right="0.4" top="0.6" bottom="0.5" header="0.5" footer="0.5"/>
  <pageSetup paperSize="3" orientation="landscape" horizontalDpi="300" verticalDpi="300"/>
  <headerFooter>
    <oddHeader>&amp;LAbsStrain</oddHeader>
    <oddFooter>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6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8" customWidth="1"/>
    <col min="2" max="2" width="18" customWidth="1"/>
    <col min="3" max="3" width="22" customWidth="1"/>
    <col min="4" max="4" width="12" customWidth="1"/>
    <col min="5" max="5" width="16" customWidth="1"/>
    <col min="6" max="8" width="12" customWidth="1"/>
  </cols>
  <sheetData>
    <row r="1" spans="1:8">
      <c r="A1" s="23" t="s">
        <v>142</v>
      </c>
      <c r="B1" s="23"/>
      <c r="C1" s="23"/>
      <c r="D1" s="23"/>
      <c r="E1" s="23"/>
      <c r="F1" s="23"/>
      <c r="G1" s="23"/>
      <c r="H1" s="23"/>
    </row>
    <row r="2" spans="1:8">
      <c r="A2" s="12" t="s">
        <v>143</v>
      </c>
    </row>
    <row r="4" spans="1:8">
      <c r="A4" s="1" t="s">
        <v>144</v>
      </c>
      <c r="B4" s="1" t="s">
        <v>140</v>
      </c>
      <c r="C4" s="1" t="s">
        <v>66</v>
      </c>
      <c r="D4" s="1" t="s">
        <v>145</v>
      </c>
      <c r="E4" s="1" t="s">
        <v>146</v>
      </c>
      <c r="F4" s="1" t="s">
        <v>12</v>
      </c>
      <c r="G4" s="1" t="s">
        <v>147</v>
      </c>
      <c r="H4" s="1" t="s">
        <v>148</v>
      </c>
    </row>
    <row r="5" spans="1:8">
      <c r="A5" s="3">
        <v>1</v>
      </c>
      <c r="B5" s="3" t="str">
        <f>MXenes!A5</f>
        <v>V2C</v>
      </c>
      <c r="C5" s="3" t="str">
        <f>MXenes!B5</f>
        <v>single M2C</v>
      </c>
      <c r="D5" s="21">
        <f>MXenes!D5</f>
        <v>2.8809999999999998</v>
      </c>
      <c r="E5" s="3" t="str">
        <f>Metals!A12</f>
        <v>Au</v>
      </c>
      <c r="F5" s="3" t="str">
        <f>Metals!C12</f>
        <v>FCC</v>
      </c>
      <c r="G5" s="21">
        <f>Metals!E12</f>
        <v>2.8837228750349779</v>
      </c>
      <c r="H5" s="22">
        <f>Strain!L6</f>
        <v>-9.4422215759727535E-2</v>
      </c>
    </row>
    <row r="6" spans="1:8">
      <c r="A6" s="3">
        <v>2</v>
      </c>
      <c r="B6" s="3" t="str">
        <f>MXenes!A44</f>
        <v>Cr2TiCNO2</v>
      </c>
      <c r="C6" s="3" t="str">
        <f>MXenes!B44</f>
        <v>ordered carbonitride</v>
      </c>
      <c r="D6" s="21">
        <f>MXenes!D44</f>
        <v>2.86</v>
      </c>
      <c r="E6" s="3" t="str">
        <f>Metals!A11</f>
        <v>Al</v>
      </c>
      <c r="F6" s="3" t="str">
        <f>Metals!C11</f>
        <v>FCC</v>
      </c>
      <c r="G6" s="21">
        <f>Metals!E11</f>
        <v>2.8634996210930423</v>
      </c>
      <c r="H6" s="22">
        <f>Strain!K45</f>
        <v>-0.12221482647539555</v>
      </c>
    </row>
    <row r="7" spans="1:8">
      <c r="A7" s="3">
        <v>3</v>
      </c>
      <c r="B7" s="3" t="str">
        <f>MXenes!A5</f>
        <v>V2C</v>
      </c>
      <c r="C7" s="3" t="str">
        <f>MXenes!B5</f>
        <v>single M2C</v>
      </c>
      <c r="D7" s="21">
        <f>MXenes!D5</f>
        <v>2.8809999999999998</v>
      </c>
      <c r="E7" s="3" t="str">
        <f>Metals!A13</f>
        <v>Ag</v>
      </c>
      <c r="F7" s="3" t="str">
        <f>Metals!C13</f>
        <v>FCC</v>
      </c>
      <c r="G7" s="21">
        <f>Metals!E13</f>
        <v>2.8887433331814023</v>
      </c>
      <c r="H7" s="22">
        <f>Strain!M6</f>
        <v>-0.26805196198842324</v>
      </c>
    </row>
    <row r="8" spans="1:8">
      <c r="A8" s="3">
        <v>4</v>
      </c>
      <c r="B8" s="3" t="str">
        <f>MXenes!A39</f>
        <v>V2TiCNO2</v>
      </c>
      <c r="C8" s="3" t="str">
        <f>MXenes!B39</f>
        <v>ordered carbonitride</v>
      </c>
      <c r="D8" s="21">
        <f>MXenes!D39</f>
        <v>2.9</v>
      </c>
      <c r="E8" s="3" t="str">
        <f>Metals!A13</f>
        <v>Ag</v>
      </c>
      <c r="F8" s="3" t="str">
        <f>Metals!C13</f>
        <v>FCC</v>
      </c>
      <c r="G8" s="21">
        <f>Metals!E13</f>
        <v>2.8887433331814023</v>
      </c>
      <c r="H8" s="22">
        <f>Strain!M40</f>
        <v>0.38967348498215393</v>
      </c>
    </row>
    <row r="9" spans="1:8">
      <c r="A9" s="3">
        <v>5</v>
      </c>
      <c r="B9" s="3" t="str">
        <f>MXenes!A34</f>
        <v>Cr2VC2O2</v>
      </c>
      <c r="C9" s="3" t="str">
        <f>MXenes!B34</f>
        <v>ordered DTM</v>
      </c>
      <c r="D9" s="21">
        <f>MXenes!D34</f>
        <v>2.9020000000000001</v>
      </c>
      <c r="E9" s="3" t="str">
        <f>Metals!A13</f>
        <v>Ag</v>
      </c>
      <c r="F9" s="3" t="str">
        <f>Metals!C13</f>
        <v>FCC</v>
      </c>
      <c r="G9" s="21">
        <f>Metals!E13</f>
        <v>2.8887433331814023</v>
      </c>
      <c r="H9" s="22">
        <f>Strain!M35</f>
        <v>0.45890774255801148</v>
      </c>
    </row>
    <row r="10" spans="1:8">
      <c r="A10" s="3">
        <v>6</v>
      </c>
      <c r="B10" s="3" t="str">
        <f>MXenes!A9</f>
        <v>Mo2C</v>
      </c>
      <c r="C10" s="3" t="str">
        <f>MXenes!B9</f>
        <v>single M2C</v>
      </c>
      <c r="D10" s="21">
        <f>MXenes!D9</f>
        <v>2.8479999999999999</v>
      </c>
      <c r="E10" s="3" t="str">
        <f>Metals!A11</f>
        <v>Al</v>
      </c>
      <c r="F10" s="3" t="str">
        <f>Metals!C11</f>
        <v>FCC</v>
      </c>
      <c r="G10" s="21">
        <f>Metals!E11</f>
        <v>2.8634996210930423</v>
      </c>
      <c r="H10" s="22">
        <f>Strain!K10</f>
        <v>-0.54128245657410057</v>
      </c>
    </row>
    <row r="11" spans="1:8">
      <c r="A11" s="3">
        <v>7</v>
      </c>
      <c r="B11" s="3" t="str">
        <f>MXenes!A39</f>
        <v>V2TiCNO2</v>
      </c>
      <c r="C11" s="3" t="str">
        <f>MXenes!B39</f>
        <v>ordered carbonitride</v>
      </c>
      <c r="D11" s="21">
        <f>MXenes!D39</f>
        <v>2.9</v>
      </c>
      <c r="E11" s="3" t="str">
        <f>Metals!A12</f>
        <v>Au</v>
      </c>
      <c r="F11" s="3" t="str">
        <f>Metals!C12</f>
        <v>FCC</v>
      </c>
      <c r="G11" s="21">
        <f>Metals!E12</f>
        <v>2.8837228750349779</v>
      </c>
      <c r="H11" s="22">
        <f>Strain!L40</f>
        <v>0.56444830763512777</v>
      </c>
    </row>
    <row r="12" spans="1:8">
      <c r="A12" s="3">
        <v>8</v>
      </c>
      <c r="B12" s="3" t="str">
        <f>MXenes!A12</f>
        <v>W2C</v>
      </c>
      <c r="C12" s="3" t="str">
        <f>MXenes!B12</f>
        <v>single M2C</v>
      </c>
      <c r="D12" s="21">
        <f>MXenes!D12</f>
        <v>2.847</v>
      </c>
      <c r="E12" s="3" t="str">
        <f>Metals!A11</f>
        <v>Al</v>
      </c>
      <c r="F12" s="3" t="str">
        <f>Metals!C11</f>
        <v>FCC</v>
      </c>
      <c r="G12" s="21">
        <f>Metals!E11</f>
        <v>2.8634996210930423</v>
      </c>
      <c r="H12" s="22">
        <f>Strain!K13</f>
        <v>-0.57620475908232216</v>
      </c>
    </row>
    <row r="13" spans="1:8">
      <c r="A13" s="3">
        <v>9</v>
      </c>
      <c r="B13" s="3" t="str">
        <f>MXenes!A5</f>
        <v>V2C</v>
      </c>
      <c r="C13" s="3" t="str">
        <f>MXenes!B5</f>
        <v>single M2C</v>
      </c>
      <c r="D13" s="21">
        <f>MXenes!D5</f>
        <v>2.8809999999999998</v>
      </c>
      <c r="E13" s="3" t="str">
        <f>Metals!A11</f>
        <v>Al</v>
      </c>
      <c r="F13" s="3" t="str">
        <f>Metals!C11</f>
        <v>FCC</v>
      </c>
      <c r="G13" s="21">
        <f>Metals!E11</f>
        <v>2.8634996210930423</v>
      </c>
      <c r="H13" s="22">
        <f>Strain!K6</f>
        <v>0.61115352619733432</v>
      </c>
    </row>
    <row r="14" spans="1:8">
      <c r="A14" s="3">
        <v>10</v>
      </c>
      <c r="B14" s="3" t="str">
        <f>MXenes!A32</f>
        <v>Cr2TiC2O2</v>
      </c>
      <c r="C14" s="3" t="str">
        <f>MXenes!B32</f>
        <v>ordered DTM</v>
      </c>
      <c r="D14" s="21">
        <f>MXenes!D32</f>
        <v>2.907</v>
      </c>
      <c r="E14" s="3" t="str">
        <f>Metals!A13</f>
        <v>Ag</v>
      </c>
      <c r="F14" s="3" t="str">
        <f>Metals!C13</f>
        <v>FCC</v>
      </c>
      <c r="G14" s="21">
        <f>Metals!E13</f>
        <v>2.8887433331814023</v>
      </c>
      <c r="H14" s="22">
        <f>Strain!M33</f>
        <v>0.63199338649763215</v>
      </c>
    </row>
    <row r="15" spans="1:8">
      <c r="A15" s="3">
        <v>11</v>
      </c>
      <c r="B15" s="3" t="str">
        <f>MXenes!A34</f>
        <v>Cr2VC2O2</v>
      </c>
      <c r="C15" s="3" t="str">
        <f>MXenes!B34</f>
        <v>ordered DTM</v>
      </c>
      <c r="D15" s="21">
        <f>MXenes!D34</f>
        <v>2.9020000000000001</v>
      </c>
      <c r="E15" s="3" t="str">
        <f>Metals!A12</f>
        <v>Au</v>
      </c>
      <c r="F15" s="3" t="str">
        <f>Metals!C12</f>
        <v>FCC</v>
      </c>
      <c r="G15" s="21">
        <f>Metals!E12</f>
        <v>2.8837228750349779</v>
      </c>
      <c r="H15" s="22">
        <f>Strain!L35</f>
        <v>0.63380309957143566</v>
      </c>
    </row>
    <row r="16" spans="1:8">
      <c r="A16" s="3">
        <v>12</v>
      </c>
      <c r="B16" s="3" t="str">
        <f>MXenes!A42</f>
        <v>Mo2TiCNO2</v>
      </c>
      <c r="C16" s="3" t="str">
        <f>MXenes!B42</f>
        <v>ordered carbonitride</v>
      </c>
      <c r="D16" s="21">
        <f>MXenes!D42</f>
        <v>2.91</v>
      </c>
      <c r="E16" s="3" t="str">
        <f>Metals!A13</f>
        <v>Ag</v>
      </c>
      <c r="F16" s="3" t="str">
        <f>Metals!C13</f>
        <v>FCC</v>
      </c>
      <c r="G16" s="21">
        <f>Metals!E13</f>
        <v>2.8887433331814023</v>
      </c>
      <c r="H16" s="22">
        <f>Strain!M43</f>
        <v>0.7358447728614107</v>
      </c>
    </row>
    <row r="17" spans="1:8">
      <c r="A17" s="3">
        <v>13</v>
      </c>
      <c r="B17" s="3" t="str">
        <f>MXenes!A32</f>
        <v>Cr2TiC2O2</v>
      </c>
      <c r="C17" s="3" t="str">
        <f>MXenes!B32</f>
        <v>ordered DTM</v>
      </c>
      <c r="D17" s="21">
        <f>MXenes!D32</f>
        <v>2.907</v>
      </c>
      <c r="E17" s="3" t="str">
        <f>Metals!A12</f>
        <v>Au</v>
      </c>
      <c r="F17" s="3" t="str">
        <f>Metals!C12</f>
        <v>FCC</v>
      </c>
      <c r="G17" s="21">
        <f>Metals!E12</f>
        <v>2.8837228750349779</v>
      </c>
      <c r="H17" s="22">
        <f>Strain!L33</f>
        <v>0.80719007941218213</v>
      </c>
    </row>
    <row r="18" spans="1:8">
      <c r="A18" s="3">
        <v>14</v>
      </c>
      <c r="B18" s="3" t="str">
        <f>MXenes!A44</f>
        <v>Cr2TiCNO2</v>
      </c>
      <c r="C18" s="3" t="str">
        <f>MXenes!B44</f>
        <v>ordered carbonitride</v>
      </c>
      <c r="D18" s="21">
        <f>MXenes!D44</f>
        <v>2.86</v>
      </c>
      <c r="E18" s="3" t="str">
        <f>Metals!A12</f>
        <v>Au</v>
      </c>
      <c r="F18" s="3" t="str">
        <f>Metals!C12</f>
        <v>FCC</v>
      </c>
      <c r="G18" s="21">
        <f>Metals!E12</f>
        <v>2.8837228750349779</v>
      </c>
      <c r="H18" s="22">
        <f>Strain!L45</f>
        <v>-0.82264753109087529</v>
      </c>
    </row>
    <row r="19" spans="1:8">
      <c r="A19" s="3">
        <v>15</v>
      </c>
      <c r="B19" s="3" t="str">
        <f>MXenes!A42</f>
        <v>Mo2TiCNO2</v>
      </c>
      <c r="C19" s="3" t="str">
        <f>MXenes!B42</f>
        <v>ordered carbonitride</v>
      </c>
      <c r="D19" s="21">
        <f>MXenes!D42</f>
        <v>2.91</v>
      </c>
      <c r="E19" s="3" t="str">
        <f>Metals!A12</f>
        <v>Au</v>
      </c>
      <c r="F19" s="3" t="str">
        <f>Metals!C12</f>
        <v>FCC</v>
      </c>
      <c r="G19" s="21">
        <f>Metals!E12</f>
        <v>2.8837228750349779</v>
      </c>
      <c r="H19" s="22">
        <f>Strain!L43</f>
        <v>0.91122226731663625</v>
      </c>
    </row>
    <row r="20" spans="1:8">
      <c r="A20" s="3">
        <v>16</v>
      </c>
      <c r="B20" s="3" t="str">
        <f>MXenes!A44</f>
        <v>Cr2TiCNO2</v>
      </c>
      <c r="C20" s="3" t="str">
        <f>MXenes!B44</f>
        <v>ordered carbonitride</v>
      </c>
      <c r="D20" s="21">
        <f>MXenes!D44</f>
        <v>2.86</v>
      </c>
      <c r="E20" s="3" t="str">
        <f>Metals!A13</f>
        <v>Ag</v>
      </c>
      <c r="F20" s="3" t="str">
        <f>Metals!C13</f>
        <v>FCC</v>
      </c>
      <c r="G20" s="21">
        <f>Metals!E13</f>
        <v>2.8887433331814023</v>
      </c>
      <c r="H20" s="22">
        <f>Strain!M45</f>
        <v>-0.99501166653484252</v>
      </c>
    </row>
    <row r="21" spans="1:8">
      <c r="A21" s="3">
        <v>17</v>
      </c>
      <c r="B21" s="3" t="str">
        <f>MXenes!A9</f>
        <v>Mo2C</v>
      </c>
      <c r="C21" s="3" t="str">
        <f>MXenes!B9</f>
        <v>single M2C</v>
      </c>
      <c r="D21" s="21">
        <f>MXenes!D9</f>
        <v>2.8479999999999999</v>
      </c>
      <c r="E21" s="3" t="str">
        <f>Metals!A12</f>
        <v>Au</v>
      </c>
      <c r="F21" s="3" t="str">
        <f>Metals!C12</f>
        <v>FCC</v>
      </c>
      <c r="G21" s="21">
        <f>Metals!E12</f>
        <v>2.8837228750349779</v>
      </c>
      <c r="H21" s="22">
        <f>Strain!L10</f>
        <v>-1.2387762827086761</v>
      </c>
    </row>
    <row r="22" spans="1:8">
      <c r="A22" s="3">
        <v>18</v>
      </c>
      <c r="B22" s="3" t="str">
        <f>MXenes!A12</f>
        <v>W2C</v>
      </c>
      <c r="C22" s="3" t="str">
        <f>MXenes!B12</f>
        <v>single M2C</v>
      </c>
      <c r="D22" s="21">
        <f>MXenes!D12</f>
        <v>2.847</v>
      </c>
      <c r="E22" s="3" t="str">
        <f>Metals!A12</f>
        <v>Au</v>
      </c>
      <c r="F22" s="3" t="str">
        <f>Metals!C12</f>
        <v>FCC</v>
      </c>
      <c r="G22" s="21">
        <f>Metals!E12</f>
        <v>2.8837228750349779</v>
      </c>
      <c r="H22" s="22">
        <f>Strain!L13</f>
        <v>-1.2734536786768225</v>
      </c>
    </row>
    <row r="23" spans="1:8">
      <c r="A23" s="3">
        <v>19</v>
      </c>
      <c r="B23" s="3" t="str">
        <f>MXenes!A39</f>
        <v>V2TiCNO2</v>
      </c>
      <c r="C23" s="3" t="str">
        <f>MXenes!B39</f>
        <v>ordered carbonitride</v>
      </c>
      <c r="D23" s="21">
        <f>MXenes!D39</f>
        <v>2.9</v>
      </c>
      <c r="E23" s="3" t="str">
        <f>Metals!A11</f>
        <v>Al</v>
      </c>
      <c r="F23" s="3" t="str">
        <f>Metals!C11</f>
        <v>FCC</v>
      </c>
      <c r="G23" s="21">
        <f>Metals!E11</f>
        <v>2.8634996210930423</v>
      </c>
      <c r="H23" s="22">
        <f>Strain!K40</f>
        <v>1.2746772738536212</v>
      </c>
    </row>
    <row r="24" spans="1:8">
      <c r="A24" s="3">
        <v>20</v>
      </c>
      <c r="B24" s="3" t="str">
        <f>MXenes!A6</f>
        <v>Cr2C</v>
      </c>
      <c r="C24" s="3" t="str">
        <f>MXenes!B6</f>
        <v>single M2C</v>
      </c>
      <c r="D24" s="21">
        <f>MXenes!D6</f>
        <v>2.8250000000000002</v>
      </c>
      <c r="E24" s="3" t="str">
        <f>Metals!A11</f>
        <v>Al</v>
      </c>
      <c r="F24" s="3" t="str">
        <f>Metals!C11</f>
        <v>FCC</v>
      </c>
      <c r="G24" s="21">
        <f>Metals!E11</f>
        <v>2.8634996210930423</v>
      </c>
      <c r="H24" s="22">
        <f>Strain!K7</f>
        <v>-1.3444954142632737</v>
      </c>
    </row>
    <row r="25" spans="1:8">
      <c r="A25" s="3">
        <v>21</v>
      </c>
      <c r="B25" s="3" t="str">
        <f>MXenes!A34</f>
        <v>Cr2VC2O2</v>
      </c>
      <c r="C25" s="3" t="str">
        <f>MXenes!B34</f>
        <v>ordered DTM</v>
      </c>
      <c r="D25" s="21">
        <f>MXenes!D34</f>
        <v>2.9020000000000001</v>
      </c>
      <c r="E25" s="3" t="str">
        <f>Metals!A11</f>
        <v>Al</v>
      </c>
      <c r="F25" s="3" t="str">
        <f>Metals!C11</f>
        <v>FCC</v>
      </c>
      <c r="G25" s="21">
        <f>Metals!E11</f>
        <v>2.8634996210930423</v>
      </c>
      <c r="H25" s="22">
        <f>Strain!K35</f>
        <v>1.3445218788700797</v>
      </c>
    </row>
    <row r="26" spans="1:8">
      <c r="A26" s="3">
        <v>22</v>
      </c>
      <c r="B26" s="3" t="str">
        <f>MXenes!A9</f>
        <v>Mo2C</v>
      </c>
      <c r="C26" s="3" t="str">
        <f>MXenes!B9</f>
        <v>single M2C</v>
      </c>
      <c r="D26" s="21">
        <f>MXenes!D9</f>
        <v>2.8479999999999999</v>
      </c>
      <c r="E26" s="3" t="str">
        <f>Metals!A13</f>
        <v>Ag</v>
      </c>
      <c r="F26" s="3" t="str">
        <f>Metals!C13</f>
        <v>FCC</v>
      </c>
      <c r="G26" s="21">
        <f>Metals!E13</f>
        <v>2.8887433331814023</v>
      </c>
      <c r="H26" s="22">
        <f>Strain!M10</f>
        <v>-1.4104172119899414</v>
      </c>
    </row>
    <row r="27" spans="1:8">
      <c r="A27" s="3">
        <v>23</v>
      </c>
      <c r="B27" s="3" t="str">
        <f>MXenes!A12</f>
        <v>W2C</v>
      </c>
      <c r="C27" s="3" t="str">
        <f>MXenes!B12</f>
        <v>single M2C</v>
      </c>
      <c r="D27" s="21">
        <f>MXenes!D12</f>
        <v>2.847</v>
      </c>
      <c r="E27" s="3" t="str">
        <f>Metals!A13</f>
        <v>Ag</v>
      </c>
      <c r="F27" s="3" t="str">
        <f>Metals!C13</f>
        <v>FCC</v>
      </c>
      <c r="G27" s="21">
        <f>Metals!E13</f>
        <v>2.8887433331814023</v>
      </c>
      <c r="H27" s="22">
        <f>Strain!M13</f>
        <v>-1.4450343407778625</v>
      </c>
    </row>
    <row r="28" spans="1:8">
      <c r="A28" s="3">
        <v>24</v>
      </c>
      <c r="B28" s="3" t="str">
        <f>MXenes!A32</f>
        <v>Cr2TiC2O2</v>
      </c>
      <c r="C28" s="3" t="str">
        <f>MXenes!B32</f>
        <v>ordered DTM</v>
      </c>
      <c r="D28" s="21">
        <f>MXenes!D32</f>
        <v>2.907</v>
      </c>
      <c r="E28" s="3" t="str">
        <f>Metals!A11</f>
        <v>Al</v>
      </c>
      <c r="F28" s="3" t="str">
        <f>Metals!C11</f>
        <v>FCC</v>
      </c>
      <c r="G28" s="21">
        <f>Metals!E11</f>
        <v>2.8634996210930423</v>
      </c>
      <c r="H28" s="22">
        <f>Strain!K33</f>
        <v>1.5191333914112031</v>
      </c>
    </row>
    <row r="29" spans="1:8">
      <c r="A29" s="3">
        <v>25</v>
      </c>
      <c r="B29" s="3" t="str">
        <f>MXenes!A42</f>
        <v>Mo2TiCNO2</v>
      </c>
      <c r="C29" s="3" t="str">
        <f>MXenes!B42</f>
        <v>ordered carbonitride</v>
      </c>
      <c r="D29" s="21">
        <f>MXenes!D42</f>
        <v>2.91</v>
      </c>
      <c r="E29" s="3" t="str">
        <f>Metals!A11</f>
        <v>Al</v>
      </c>
      <c r="F29" s="3" t="str">
        <f>Metals!C11</f>
        <v>FCC</v>
      </c>
      <c r="G29" s="21">
        <f>Metals!E11</f>
        <v>2.8634996210930423</v>
      </c>
      <c r="H29" s="22">
        <f>Strain!K43</f>
        <v>1.6239002989358831</v>
      </c>
    </row>
    <row r="30" spans="1:8">
      <c r="A30" s="3">
        <v>26</v>
      </c>
      <c r="B30" s="3" t="str">
        <f>MXenes!A6</f>
        <v>Cr2C</v>
      </c>
      <c r="C30" s="3" t="str">
        <f>MXenes!B6</f>
        <v>single M2C</v>
      </c>
      <c r="D30" s="21">
        <f>MXenes!D6</f>
        <v>2.8250000000000002</v>
      </c>
      <c r="E30" s="3" t="str">
        <f>Metals!A10</f>
        <v>Pt</v>
      </c>
      <c r="F30" s="3" t="str">
        <f>Metals!C10</f>
        <v>FCC</v>
      </c>
      <c r="G30" s="21">
        <f>Metals!E10</f>
        <v>2.7746162986978939</v>
      </c>
      <c r="H30" s="22">
        <f>Strain!J7</f>
        <v>1.8158799588163204</v>
      </c>
    </row>
    <row r="31" spans="1:8">
      <c r="A31" s="3">
        <v>27</v>
      </c>
      <c r="B31" s="3" t="str">
        <f>MXenes!A6</f>
        <v>Cr2C</v>
      </c>
      <c r="C31" s="3" t="str">
        <f>MXenes!B6</f>
        <v>single M2C</v>
      </c>
      <c r="D31" s="21">
        <f>MXenes!D6</f>
        <v>2.8250000000000002</v>
      </c>
      <c r="E31" s="3" t="str">
        <f>Metals!A12</f>
        <v>Au</v>
      </c>
      <c r="F31" s="3" t="str">
        <f>Metals!C12</f>
        <v>FCC</v>
      </c>
      <c r="G31" s="21">
        <f>Metals!E12</f>
        <v>2.8837228750349779</v>
      </c>
      <c r="H31" s="22">
        <f>Strain!L7</f>
        <v>-2.0363563899761163</v>
      </c>
    </row>
    <row r="32" spans="1:8">
      <c r="A32" s="3">
        <v>28</v>
      </c>
      <c r="B32" s="3" t="str">
        <f>MXenes!A6</f>
        <v>Cr2C</v>
      </c>
      <c r="C32" s="3" t="str">
        <f>MXenes!B6</f>
        <v>single M2C</v>
      </c>
      <c r="D32" s="21">
        <f>MXenes!D6</f>
        <v>2.8250000000000002</v>
      </c>
      <c r="E32" s="3" t="str">
        <f>Metals!A13</f>
        <v>Ag</v>
      </c>
      <c r="F32" s="3" t="str">
        <f>Metals!C13</f>
        <v>FCC</v>
      </c>
      <c r="G32" s="21">
        <f>Metals!E13</f>
        <v>2.8887433331814023</v>
      </c>
      <c r="H32" s="22">
        <f>Strain!M7</f>
        <v>-2.206611174112203</v>
      </c>
    </row>
    <row r="33" spans="1:8">
      <c r="A33" s="3">
        <v>29</v>
      </c>
      <c r="B33" s="3" t="str">
        <f>MXenes!A6</f>
        <v>Cr2C</v>
      </c>
      <c r="C33" s="3" t="str">
        <f>MXenes!B6</f>
        <v>single M2C</v>
      </c>
      <c r="D33" s="21">
        <f>MXenes!D6</f>
        <v>2.8250000000000002</v>
      </c>
      <c r="E33" s="3" t="str">
        <f>Metals!A26</f>
        <v>Pt3Ti</v>
      </c>
      <c r="F33" s="3" t="str">
        <f>Metals!C26</f>
        <v>L12</v>
      </c>
      <c r="G33" s="21">
        <f>Metals!E26</f>
        <v>2.7619590873146547</v>
      </c>
      <c r="H33" s="22">
        <f>Strain!Z7</f>
        <v>2.2824709089604123</v>
      </c>
    </row>
    <row r="34" spans="1:8">
      <c r="A34" s="3">
        <v>30</v>
      </c>
      <c r="B34" s="3" t="str">
        <f>MXenes!A14</f>
        <v>V3C2</v>
      </c>
      <c r="C34" s="3" t="str">
        <f>MXenes!B14</f>
        <v>single M3C2</v>
      </c>
      <c r="D34" s="21">
        <f>MXenes!D14</f>
        <v>2.96</v>
      </c>
      <c r="E34" s="3" t="str">
        <f>Metals!A13</f>
        <v>Ag</v>
      </c>
      <c r="F34" s="3" t="str">
        <f>Metals!C13</f>
        <v>FCC</v>
      </c>
      <c r="G34" s="21">
        <f>Metals!E13</f>
        <v>2.8887433331814023</v>
      </c>
      <c r="H34" s="22">
        <f>Strain!M15</f>
        <v>2.4667012122576488</v>
      </c>
    </row>
    <row r="35" spans="1:8">
      <c r="A35" s="3">
        <v>31</v>
      </c>
      <c r="B35" s="3" t="str">
        <f>MXenes!A46</f>
        <v>(Ti0.5V0.5)2C</v>
      </c>
      <c r="C35" s="3" t="str">
        <f>MXenes!B46</f>
        <v>solid solution</v>
      </c>
      <c r="D35" s="21">
        <f>MXenes!D46</f>
        <v>2.96</v>
      </c>
      <c r="E35" s="3" t="str">
        <f>Metals!A13</f>
        <v>Ag</v>
      </c>
      <c r="F35" s="3" t="str">
        <f>Metals!C13</f>
        <v>FCC</v>
      </c>
      <c r="G35" s="21">
        <f>Metals!E13</f>
        <v>2.8887433331814023</v>
      </c>
      <c r="H35" s="22">
        <f>Strain!M47</f>
        <v>2.4667012122576488</v>
      </c>
    </row>
    <row r="36" spans="1:8">
      <c r="A36" s="3">
        <v>32</v>
      </c>
      <c r="B36" s="3" t="str">
        <f>MXenes!A12</f>
        <v>W2C</v>
      </c>
      <c r="C36" s="3" t="str">
        <f>MXenes!B12</f>
        <v>single M2C</v>
      </c>
      <c r="D36" s="21">
        <f>MXenes!D12</f>
        <v>2.847</v>
      </c>
      <c r="E36" s="3" t="str">
        <f>Metals!A10</f>
        <v>Pt</v>
      </c>
      <c r="F36" s="3" t="str">
        <f>Metals!C10</f>
        <v>FCC</v>
      </c>
      <c r="G36" s="21">
        <f>Metals!E10</f>
        <v>2.7746162986978939</v>
      </c>
      <c r="H36" s="22">
        <f>Strain!J13</f>
        <v>2.6087823868141746</v>
      </c>
    </row>
    <row r="37" spans="1:8">
      <c r="A37" s="3">
        <v>33</v>
      </c>
      <c r="B37" s="3" t="str">
        <f>MXenes!A9</f>
        <v>Mo2C</v>
      </c>
      <c r="C37" s="3" t="str">
        <f>MXenes!B9</f>
        <v>single M2C</v>
      </c>
      <c r="D37" s="21">
        <f>MXenes!D9</f>
        <v>2.8479999999999999</v>
      </c>
      <c r="E37" s="3" t="str">
        <f>Metals!A10</f>
        <v>Pt</v>
      </c>
      <c r="F37" s="3" t="str">
        <f>Metals!C10</f>
        <v>FCC</v>
      </c>
      <c r="G37" s="21">
        <f>Metals!E10</f>
        <v>2.7746162986978939</v>
      </c>
      <c r="H37" s="22">
        <f>Strain!J10</f>
        <v>2.6448234062686189</v>
      </c>
    </row>
    <row r="38" spans="1:8">
      <c r="A38" s="3">
        <v>34</v>
      </c>
      <c r="B38" s="3" t="str">
        <f>MXenes!A14</f>
        <v>V3C2</v>
      </c>
      <c r="C38" s="3" t="str">
        <f>MXenes!B14</f>
        <v>single M3C2</v>
      </c>
      <c r="D38" s="21">
        <f>MXenes!D14</f>
        <v>2.96</v>
      </c>
      <c r="E38" s="3" t="str">
        <f>Metals!A12</f>
        <v>Au</v>
      </c>
      <c r="F38" s="3" t="str">
        <f>Metals!C12</f>
        <v>FCC</v>
      </c>
      <c r="G38" s="21">
        <f>Metals!E12</f>
        <v>2.8837228750349779</v>
      </c>
      <c r="H38" s="22">
        <f>Strain!L15</f>
        <v>2.6450920657241324</v>
      </c>
    </row>
    <row r="39" spans="1:8">
      <c r="A39" s="3">
        <v>35</v>
      </c>
      <c r="B39" s="3" t="str">
        <f>MXenes!A46</f>
        <v>(Ti0.5V0.5)2C</v>
      </c>
      <c r="C39" s="3" t="str">
        <f>MXenes!B46</f>
        <v>solid solution</v>
      </c>
      <c r="D39" s="21">
        <f>MXenes!D46</f>
        <v>2.96</v>
      </c>
      <c r="E39" s="3" t="str">
        <f>Metals!A12</f>
        <v>Au</v>
      </c>
      <c r="F39" s="3" t="str">
        <f>Metals!C12</f>
        <v>FCC</v>
      </c>
      <c r="G39" s="21">
        <f>Metals!E12</f>
        <v>2.8837228750349779</v>
      </c>
      <c r="H39" s="22">
        <f>Strain!L47</f>
        <v>2.6450920657241324</v>
      </c>
    </row>
    <row r="40" spans="1:8">
      <c r="A40" s="3">
        <v>36</v>
      </c>
      <c r="B40" s="3" t="str">
        <f>MXenes!A6</f>
        <v>Cr2C</v>
      </c>
      <c r="C40" s="3" t="str">
        <f>MXenes!B6</f>
        <v>single M2C</v>
      </c>
      <c r="D40" s="21">
        <f>MXenes!D6</f>
        <v>2.8250000000000002</v>
      </c>
      <c r="E40" s="3" t="str">
        <f>Metals!A9</f>
        <v>Pd</v>
      </c>
      <c r="F40" s="3" t="str">
        <f>Metals!C9</f>
        <v>FCC</v>
      </c>
      <c r="G40" s="21">
        <f>Metals!E9</f>
        <v>2.7511403535625001</v>
      </c>
      <c r="H40" s="22">
        <f>Strain!I7</f>
        <v>2.6846920529466241</v>
      </c>
    </row>
    <row r="41" spans="1:8">
      <c r="A41" s="3">
        <v>37</v>
      </c>
      <c r="B41" s="3" t="str">
        <f>MXenes!A6</f>
        <v>Cr2C</v>
      </c>
      <c r="C41" s="3" t="str">
        <f>MXenes!B6</f>
        <v>single M2C</v>
      </c>
      <c r="D41" s="21">
        <f>MXenes!D6</f>
        <v>2.8250000000000002</v>
      </c>
      <c r="E41" s="3" t="str">
        <f>Metals!A25</f>
        <v>Pt3Al</v>
      </c>
      <c r="F41" s="3" t="str">
        <f>Metals!C25</f>
        <v>L12</v>
      </c>
      <c r="G41" s="21">
        <f>Metals!E25</f>
        <v>2.7407458838790579</v>
      </c>
      <c r="H41" s="22">
        <f>Strain!Y7</f>
        <v>3.0741309005158453</v>
      </c>
    </row>
    <row r="42" spans="1:8">
      <c r="A42" s="3">
        <v>38</v>
      </c>
      <c r="B42" s="3" t="str">
        <f>MXenes!A44</f>
        <v>Cr2TiCNO2</v>
      </c>
      <c r="C42" s="3" t="str">
        <f>MXenes!B44</f>
        <v>ordered carbonitride</v>
      </c>
      <c r="D42" s="21">
        <f>MXenes!D44</f>
        <v>2.86</v>
      </c>
      <c r="E42" s="3" t="str">
        <f>Metals!A10</f>
        <v>Pt</v>
      </c>
      <c r="F42" s="3" t="str">
        <f>Metals!C10</f>
        <v>FCC</v>
      </c>
      <c r="G42" s="21">
        <f>Metals!E10</f>
        <v>2.7746162986978939</v>
      </c>
      <c r="H42" s="22">
        <f>Strain!J45</f>
        <v>3.0773156397219985</v>
      </c>
    </row>
    <row r="43" spans="1:8">
      <c r="A43" s="3">
        <v>39</v>
      </c>
      <c r="B43" s="3" t="str">
        <f>MXenes!A12</f>
        <v>W2C</v>
      </c>
      <c r="C43" s="3" t="str">
        <f>MXenes!B12</f>
        <v>single M2C</v>
      </c>
      <c r="D43" s="21">
        <f>MXenes!D12</f>
        <v>2.847</v>
      </c>
      <c r="E43" s="3" t="str">
        <f>Metals!A26</f>
        <v>Pt3Ti</v>
      </c>
      <c r="F43" s="3" t="str">
        <f>Metals!C26</f>
        <v>L12</v>
      </c>
      <c r="G43" s="21">
        <f>Metals!E26</f>
        <v>2.7619590873146547</v>
      </c>
      <c r="H43" s="22">
        <f>Strain!Z13</f>
        <v>3.0790069655965566</v>
      </c>
    </row>
    <row r="44" spans="1:8">
      <c r="A44" s="3">
        <v>40</v>
      </c>
      <c r="B44" s="3" t="str">
        <f>MXenes!A9</f>
        <v>Mo2C</v>
      </c>
      <c r="C44" s="3" t="str">
        <f>MXenes!B9</f>
        <v>single M2C</v>
      </c>
      <c r="D44" s="21">
        <f>MXenes!D9</f>
        <v>2.8479999999999999</v>
      </c>
      <c r="E44" s="3" t="str">
        <f>Metals!A26</f>
        <v>Pt3Ti</v>
      </c>
      <c r="F44" s="3" t="str">
        <f>Metals!C26</f>
        <v>L12</v>
      </c>
      <c r="G44" s="21">
        <f>Metals!E26</f>
        <v>2.7619590873146547</v>
      </c>
      <c r="H44" s="22">
        <f>Strain!Z10</f>
        <v>3.1152131499891054</v>
      </c>
    </row>
    <row r="45" spans="1:8">
      <c r="A45" s="3">
        <v>41</v>
      </c>
      <c r="B45" s="3" t="str">
        <f>MXenes!A35</f>
        <v>Ti2VCNO2</v>
      </c>
      <c r="C45" s="3" t="str">
        <f>MXenes!B35</f>
        <v>ordered carbonitride</v>
      </c>
      <c r="D45" s="21">
        <f>MXenes!D35</f>
        <v>2.98</v>
      </c>
      <c r="E45" s="3" t="str">
        <f>Metals!A13</f>
        <v>Ag</v>
      </c>
      <c r="F45" s="3" t="str">
        <f>Metals!C13</f>
        <v>FCC</v>
      </c>
      <c r="G45" s="21">
        <f>Metals!E13</f>
        <v>2.8887433331814023</v>
      </c>
      <c r="H45" s="22">
        <f>Strain!M36</f>
        <v>3.159043788016147</v>
      </c>
    </row>
    <row r="46" spans="1:8">
      <c r="A46" s="3">
        <v>42</v>
      </c>
      <c r="B46" s="3" t="str">
        <f>MXenes!A35</f>
        <v>Ti2VCNO2</v>
      </c>
      <c r="C46" s="3" t="str">
        <f>MXenes!B35</f>
        <v>ordered carbonitride</v>
      </c>
      <c r="D46" s="21">
        <f>MXenes!D35</f>
        <v>2.98</v>
      </c>
      <c r="E46" s="3" t="str">
        <f>Metals!A12</f>
        <v>Au</v>
      </c>
      <c r="F46" s="3" t="str">
        <f>Metals!C12</f>
        <v>FCC</v>
      </c>
      <c r="G46" s="21">
        <f>Metals!E12</f>
        <v>2.8837228750349779</v>
      </c>
      <c r="H46" s="22">
        <f>Strain!L36</f>
        <v>3.3386399850871338</v>
      </c>
    </row>
    <row r="47" spans="1:8">
      <c r="A47" s="3">
        <v>43</v>
      </c>
      <c r="B47" s="3" t="str">
        <f>MXenes!A14</f>
        <v>V3C2</v>
      </c>
      <c r="C47" s="3" t="str">
        <f>MXenes!B14</f>
        <v>single M3C2</v>
      </c>
      <c r="D47" s="21">
        <f>MXenes!D14</f>
        <v>2.96</v>
      </c>
      <c r="E47" s="3" t="str">
        <f>Metals!A11</f>
        <v>Al</v>
      </c>
      <c r="F47" s="3" t="str">
        <f>Metals!C11</f>
        <v>FCC</v>
      </c>
      <c r="G47" s="21">
        <f>Metals!E11</f>
        <v>2.8634996210930423</v>
      </c>
      <c r="H47" s="22">
        <f>Strain!K15</f>
        <v>3.3700154243471463</v>
      </c>
    </row>
    <row r="48" spans="1:8">
      <c r="A48" s="3">
        <v>44</v>
      </c>
      <c r="B48" s="3" t="str">
        <f>MXenes!A46</f>
        <v>(Ti0.5V0.5)2C</v>
      </c>
      <c r="C48" s="3" t="str">
        <f>MXenes!B46</f>
        <v>solid solution</v>
      </c>
      <c r="D48" s="21">
        <f>MXenes!D46</f>
        <v>2.96</v>
      </c>
      <c r="E48" s="3" t="str">
        <f>Metals!A11</f>
        <v>Al</v>
      </c>
      <c r="F48" s="3" t="str">
        <f>Metals!C11</f>
        <v>FCC</v>
      </c>
      <c r="G48" s="21">
        <f>Metals!E11</f>
        <v>2.8634996210930423</v>
      </c>
      <c r="H48" s="22">
        <f>Strain!K47</f>
        <v>3.3700154243471463</v>
      </c>
    </row>
    <row r="49" spans="1:8">
      <c r="A49" s="3">
        <v>45</v>
      </c>
      <c r="B49" s="3" t="str">
        <f>MXenes!A12</f>
        <v>W2C</v>
      </c>
      <c r="C49" s="3" t="str">
        <f>MXenes!B12</f>
        <v>single M2C</v>
      </c>
      <c r="D49" s="21">
        <f>MXenes!D12</f>
        <v>2.847</v>
      </c>
      <c r="E49" s="3" t="str">
        <f>Metals!A9</f>
        <v>Pd</v>
      </c>
      <c r="F49" s="3" t="str">
        <f>Metals!C9</f>
        <v>FCC</v>
      </c>
      <c r="G49" s="21">
        <f>Metals!E9</f>
        <v>2.7511403535625001</v>
      </c>
      <c r="H49" s="22">
        <f>Strain!I13</f>
        <v>3.4843604512350503</v>
      </c>
    </row>
    <row r="50" spans="1:8">
      <c r="A50" s="3">
        <v>46</v>
      </c>
      <c r="B50" s="3" t="str">
        <f>MXenes!A9</f>
        <v>Mo2C</v>
      </c>
      <c r="C50" s="3" t="str">
        <f>MXenes!B9</f>
        <v>single M2C</v>
      </c>
      <c r="D50" s="21">
        <f>MXenes!D9</f>
        <v>2.8479999999999999</v>
      </c>
      <c r="E50" s="3" t="str">
        <f>Metals!A9</f>
        <v>Pd</v>
      </c>
      <c r="F50" s="3" t="str">
        <f>Metals!C9</f>
        <v>FCC</v>
      </c>
      <c r="G50" s="21">
        <f>Metals!E9</f>
        <v>2.7511403535625001</v>
      </c>
      <c r="H50" s="22">
        <f>Strain!I10</f>
        <v>3.5207090147936118</v>
      </c>
    </row>
    <row r="51" spans="1:8">
      <c r="A51" s="3">
        <v>47</v>
      </c>
      <c r="B51" s="3" t="str">
        <f>MXenes!A44</f>
        <v>Cr2TiCNO2</v>
      </c>
      <c r="C51" s="3" t="str">
        <f>MXenes!B44</f>
        <v>ordered carbonitride</v>
      </c>
      <c r="D51" s="21">
        <f>MXenes!D44</f>
        <v>2.86</v>
      </c>
      <c r="E51" s="3" t="str">
        <f>Metals!A26</f>
        <v>Pt3Ti</v>
      </c>
      <c r="F51" s="3" t="str">
        <f>Metals!C26</f>
        <v>L12</v>
      </c>
      <c r="G51" s="21">
        <f>Metals!E26</f>
        <v>2.7619590873146547</v>
      </c>
      <c r="H51" s="22">
        <f>Strain!Z45</f>
        <v>3.5496873626997338</v>
      </c>
    </row>
    <row r="52" spans="1:8">
      <c r="A52" s="3">
        <v>48</v>
      </c>
      <c r="B52" s="3" t="str">
        <f>MXenes!A47</f>
        <v>(V0.5Nb0.5)2C</v>
      </c>
      <c r="C52" s="3" t="str">
        <f>MXenes!B47</f>
        <v>solid solution</v>
      </c>
      <c r="D52" s="21">
        <f>MXenes!D47</f>
        <v>2.9929999999999999</v>
      </c>
      <c r="E52" s="3" t="str">
        <f>Metals!A13</f>
        <v>Ag</v>
      </c>
      <c r="F52" s="3" t="str">
        <f>Metals!C13</f>
        <v>FCC</v>
      </c>
      <c r="G52" s="21">
        <f>Metals!E13</f>
        <v>2.8887433331814023</v>
      </c>
      <c r="H52" s="22">
        <f>Strain!M48</f>
        <v>3.6090664622591668</v>
      </c>
    </row>
    <row r="53" spans="1:8">
      <c r="A53" s="3">
        <v>49</v>
      </c>
      <c r="B53" s="3" t="str">
        <f>MXenes!A31</f>
        <v>Mo2TiC2O2</v>
      </c>
      <c r="C53" s="3" t="str">
        <f>MXenes!B31</f>
        <v>ordered DTM</v>
      </c>
      <c r="D53" s="21">
        <f>MXenes!D31</f>
        <v>2.9980000000000002</v>
      </c>
      <c r="E53" s="3" t="str">
        <f>Metals!A13</f>
        <v>Ag</v>
      </c>
      <c r="F53" s="3" t="str">
        <f>Metals!C13</f>
        <v>FCC</v>
      </c>
      <c r="G53" s="21">
        <f>Metals!E13</f>
        <v>2.8887433331814023</v>
      </c>
      <c r="H53" s="22">
        <f>Strain!M32</f>
        <v>3.782152106198803</v>
      </c>
    </row>
    <row r="54" spans="1:8">
      <c r="A54" s="3">
        <v>50</v>
      </c>
      <c r="B54" s="3" t="str">
        <f>MXenes!A47</f>
        <v>(V0.5Nb0.5)2C</v>
      </c>
      <c r="C54" s="3" t="str">
        <f>MXenes!B47</f>
        <v>solid solution</v>
      </c>
      <c r="D54" s="21">
        <f>MXenes!D47</f>
        <v>2.9929999999999999</v>
      </c>
      <c r="E54" s="3" t="str">
        <f>Metals!A12</f>
        <v>Au</v>
      </c>
      <c r="F54" s="3" t="str">
        <f>Metals!C12</f>
        <v>FCC</v>
      </c>
      <c r="G54" s="21">
        <f>Metals!E12</f>
        <v>2.8837228750349779</v>
      </c>
      <c r="H54" s="22">
        <f>Strain!L48</f>
        <v>3.7894461326730808</v>
      </c>
    </row>
    <row r="55" spans="1:8">
      <c r="A55" s="3">
        <v>51</v>
      </c>
      <c r="B55" s="3" t="str">
        <f>MXenes!A5</f>
        <v>V2C</v>
      </c>
      <c r="C55" s="3" t="str">
        <f>MXenes!B5</f>
        <v>single M2C</v>
      </c>
      <c r="D55" s="21">
        <f>MXenes!D5</f>
        <v>2.8809999999999998</v>
      </c>
      <c r="E55" s="3" t="str">
        <f>Metals!A10</f>
        <v>Pt</v>
      </c>
      <c r="F55" s="3" t="str">
        <f>Metals!C10</f>
        <v>FCC</v>
      </c>
      <c r="G55" s="21">
        <f>Metals!E10</f>
        <v>2.7746162986978939</v>
      </c>
      <c r="H55" s="22">
        <f>Strain!J6</f>
        <v>3.8341770482654085</v>
      </c>
    </row>
    <row r="56" spans="1:8">
      <c r="A56" s="3">
        <v>52</v>
      </c>
      <c r="B56" s="3" t="str">
        <f>MXenes!A37</f>
        <v>Ti2MoCNO2</v>
      </c>
      <c r="C56" s="3" t="str">
        <f>MXenes!B37</f>
        <v>ordered carbonitride</v>
      </c>
      <c r="D56" s="21">
        <f>MXenes!D37</f>
        <v>3</v>
      </c>
      <c r="E56" s="3" t="str">
        <f>Metals!A13</f>
        <v>Ag</v>
      </c>
      <c r="F56" s="3" t="str">
        <f>Metals!C13</f>
        <v>FCC</v>
      </c>
      <c r="G56" s="21">
        <f>Metals!E13</f>
        <v>2.8887433331814023</v>
      </c>
      <c r="H56" s="22">
        <f>Strain!M38</f>
        <v>3.8513863637746453</v>
      </c>
    </row>
    <row r="57" spans="1:8">
      <c r="A57" s="3">
        <v>53</v>
      </c>
      <c r="B57" s="3" t="str">
        <f>MXenes!A12</f>
        <v>W2C</v>
      </c>
      <c r="C57" s="3" t="str">
        <f>MXenes!B12</f>
        <v>single M2C</v>
      </c>
      <c r="D57" s="21">
        <f>MXenes!D12</f>
        <v>2.847</v>
      </c>
      <c r="E57" s="3" t="str">
        <f>Metals!A25</f>
        <v>Pt3Al</v>
      </c>
      <c r="F57" s="3" t="str">
        <f>Metals!C25</f>
        <v>L12</v>
      </c>
      <c r="G57" s="21">
        <f>Metals!E25</f>
        <v>2.7407458838790579</v>
      </c>
      <c r="H57" s="22">
        <f>Strain!Y13</f>
        <v>3.8768320969092356</v>
      </c>
    </row>
    <row r="58" spans="1:8">
      <c r="A58" s="3">
        <v>54</v>
      </c>
      <c r="B58" s="3" t="str">
        <f>MXenes!A9</f>
        <v>Mo2C</v>
      </c>
      <c r="C58" s="3" t="str">
        <f>MXenes!B9</f>
        <v>single M2C</v>
      </c>
      <c r="D58" s="21">
        <f>MXenes!D9</f>
        <v>2.8479999999999999</v>
      </c>
      <c r="E58" s="3" t="str">
        <f>Metals!A25</f>
        <v>Pt3Al</v>
      </c>
      <c r="F58" s="3" t="str">
        <f>Metals!C25</f>
        <v>L12</v>
      </c>
      <c r="G58" s="21">
        <f>Metals!E25</f>
        <v>2.7407458838790579</v>
      </c>
      <c r="H58" s="22">
        <f>Strain!Y10</f>
        <v>3.9133185149271132</v>
      </c>
    </row>
    <row r="59" spans="1:8">
      <c r="A59" s="3">
        <v>55</v>
      </c>
      <c r="B59" s="3" t="str">
        <f>MXenes!A44</f>
        <v>Cr2TiCNO2</v>
      </c>
      <c r="C59" s="3" t="str">
        <f>MXenes!B44</f>
        <v>ordered carbonitride</v>
      </c>
      <c r="D59" s="21">
        <f>MXenes!D44</f>
        <v>2.86</v>
      </c>
      <c r="E59" s="3" t="str">
        <f>Metals!A9</f>
        <v>Pd</v>
      </c>
      <c r="F59" s="3" t="str">
        <f>Metals!C9</f>
        <v>FCC</v>
      </c>
      <c r="G59" s="21">
        <f>Metals!E9</f>
        <v>2.7511403535625001</v>
      </c>
      <c r="H59" s="22">
        <f>Strain!I45</f>
        <v>3.9568917774963941</v>
      </c>
    </row>
    <row r="60" spans="1:8">
      <c r="A60" s="3">
        <v>56</v>
      </c>
      <c r="B60" s="3" t="str">
        <f>MXenes!A31</f>
        <v>Mo2TiC2O2</v>
      </c>
      <c r="C60" s="3" t="str">
        <f>MXenes!B31</f>
        <v>ordered DTM</v>
      </c>
      <c r="D60" s="21">
        <f>MXenes!D31</f>
        <v>2.9980000000000002</v>
      </c>
      <c r="E60" s="3" t="str">
        <f>Metals!A12</f>
        <v>Au</v>
      </c>
      <c r="F60" s="3" t="str">
        <f>Metals!C12</f>
        <v>FCC</v>
      </c>
      <c r="G60" s="21">
        <f>Metals!E12</f>
        <v>2.8837228750349779</v>
      </c>
      <c r="H60" s="22">
        <f>Strain!L32</f>
        <v>3.962833112513843</v>
      </c>
    </row>
  </sheetData>
  <autoFilter ref="A4:H60" xr:uid="{00000000-0009-0000-0000-000005000000}"/>
  <mergeCells count="1">
    <mergeCell ref="A1:H1"/>
  </mergeCells>
  <conditionalFormatting sqref="H5:H60">
    <cfRule type="colorScale" priority="2">
      <colorScale>
        <cfvo type="num" val="-4"/>
        <cfvo type="num" val="0"/>
        <cfvo type="num" val="4"/>
        <color rgb="FF5B9BD5"/>
        <color rgb="FFFFFFFF"/>
        <color rgb="FFFF6B6B"/>
      </colorScale>
    </cfRule>
  </conditionalFormatting>
  <pageMargins left="0.4" right="0.4" top="0.6" bottom="0.5" header="0.5" footer="0.5"/>
  <pageSetup orientation="landscape" horizontalDpi="300" verticalDpi="300"/>
  <headerFooter>
    <oddHeader>&amp;LBest pairs</oddHeader>
    <oddFooter>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377EDEAC90974682C094FCE6C8A7F2" ma:contentTypeVersion="13" ma:contentTypeDescription="Create a new document." ma:contentTypeScope="" ma:versionID="1b641b5d9d862f37cef6e101c9d05511">
  <xsd:schema xmlns:xsd="http://www.w3.org/2001/XMLSchema" xmlns:xs="http://www.w3.org/2001/XMLSchema" xmlns:p="http://schemas.microsoft.com/office/2006/metadata/properties" xmlns:ns2="62b867fc-69d0-4a6f-bd7b-f49695ad4028" xmlns:ns3="9be65ec2-764e-49ee-a836-0b712a58fb87" targetNamespace="http://schemas.microsoft.com/office/2006/metadata/properties" ma:root="true" ma:fieldsID="44758dd10ed95cdcf68293e611c3debf" ns2:_="" ns3:_="">
    <xsd:import namespace="62b867fc-69d0-4a6f-bd7b-f49695ad4028"/>
    <xsd:import namespace="9be65ec2-764e-49ee-a836-0b712a58fb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b867fc-69d0-4a6f-bd7b-f49695ad4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e9e90a8-b24c-4be7-8760-a88b2cd47e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e65ec2-764e-49ee-a836-0b712a58fb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2831eb-7a3d-46f6-b94b-965757966453}" ma:internalName="TaxCatchAll" ma:showField="CatchAllData" ma:web="9be65ec2-764e-49ee-a836-0b712a58fb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e65ec2-764e-49ee-a836-0b712a58fb87" xsi:nil="true"/>
    <lcf76f155ced4ddcb4097134ff3c332f xmlns="62b867fc-69d0-4a6f-bd7b-f49695ad40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A05AE9-0EB1-4DB2-BC64-32BBC017A377}"/>
</file>

<file path=customXml/itemProps2.xml><?xml version="1.0" encoding="utf-8"?>
<ds:datastoreItem xmlns:ds="http://schemas.openxmlformats.org/officeDocument/2006/customXml" ds:itemID="{8E0DE362-12E5-4FC6-A5CB-4DB44DEED63B}"/>
</file>

<file path=customXml/itemProps3.xml><?xml version="1.0" encoding="utf-8"?>
<ds:datastoreItem xmlns:ds="http://schemas.openxmlformats.org/officeDocument/2006/customXml" ds:itemID="{023AE6E0-9F9D-4BA0-954E-41E2066868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2026-10-05T15:22:33Z</dcterms:created>
  <dcterms:modified xsi:type="dcterms:W3CDTF">2026-10-14T19:24:21Z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0x01010097377EDEAC90974682C094FCE6C8A7F2</vt:lpwstr>
  </property>
  <property fmtid="{D5CDD505-2E9C-101B-9397-08002B2CF9AE}" pid="3" name="MediaServiceImageTags">
    <vt:lpwstr/>
  </property>
</Properties>
</file>